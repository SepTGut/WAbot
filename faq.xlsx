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Percepatan Material Elektr" sheetId="1" r:id="rId5"/>
  </sheets>
  <definedNames>
    <definedName hidden="1" localSheetId="0" name="_xlnm._FilterDatabase">'List Percepatan Material Elektr'!$A$6:$R$747</definedName>
    <definedName hidden="1" localSheetId="0" name="Z_809B2B61_5217_4BC0_91ED_481C960AD27F_.wvu.FilterData">'List Percepatan Material Elektr'!$A$5:$R$521</definedName>
  </definedNames>
  <calcPr/>
  <customWorkbookViews>
    <customWorkbookView activeSheetId="0" maximized="1" windowHeight="0" windowWidth="0" guid="{809B2B61-5217-4BC0-91ED-481C960AD27F}" name="Filter 1"/>
  </customWorkbookViews>
</workbook>
</file>

<file path=xl/sharedStrings.xml><?xml version="1.0" encoding="utf-8"?>
<sst xmlns="http://schemas.openxmlformats.org/spreadsheetml/2006/main" count="4452" uniqueCount="796">
  <si>
    <t>ELEKTRIK SEKOLAH RAKYAT</t>
  </si>
  <si>
    <t>Proyek : Sekolah Rakyat</t>
  </si>
  <si>
    <t>STATUS PENGADAAN</t>
  </si>
  <si>
    <t>No Bom : BM-203-03E-REKA-IV-2026</t>
  </si>
  <si>
    <t>No WBS : R1-26406</t>
  </si>
  <si>
    <t>Kode Material</t>
  </si>
  <si>
    <t>Bangunan</t>
  </si>
  <si>
    <t>Description</t>
  </si>
  <si>
    <t>SpecTech/ Material</t>
  </si>
  <si>
    <t>QTY/ SET
BOM</t>
  </si>
  <si>
    <t>Unit</t>
  </si>
  <si>
    <t>Rev</t>
  </si>
  <si>
    <t>Qty ter-PR</t>
  </si>
  <si>
    <t>Nomor PR</t>
  </si>
  <si>
    <t>Tanggal PR</t>
  </si>
  <si>
    <t>Target ETA REKA</t>
  </si>
  <si>
    <t>Nomor PO</t>
  </si>
  <si>
    <t>Status PO</t>
  </si>
  <si>
    <t>ETA REKA PO</t>
  </si>
  <si>
    <t>Status Kedatangan</t>
  </si>
  <si>
    <t>Tanggal Kedatangan</t>
  </si>
  <si>
    <t>Qty Kedatangan</t>
  </si>
  <si>
    <t>Deviasi</t>
  </si>
  <si>
    <t>22B50EN20004XXX20</t>
  </si>
  <si>
    <t>Asrama PA/PI</t>
  </si>
  <si>
    <t>4 way Dos</t>
  </si>
  <si>
    <t>Pcs</t>
  </si>
  <si>
    <t>B</t>
  </si>
  <si>
    <t>19/06/2026</t>
  </si>
  <si>
    <t>Rusun PA</t>
  </si>
  <si>
    <t xml:space="preserve">Rusun PI </t>
  </si>
  <si>
    <t>Kantin SD</t>
  </si>
  <si>
    <t>Kantin SMP</t>
  </si>
  <si>
    <t>Kantin SMA</t>
  </si>
  <si>
    <t>Serbaguna</t>
  </si>
  <si>
    <t>MBG &amp; Gudang</t>
  </si>
  <si>
    <t>GuestHouse</t>
  </si>
  <si>
    <t>Gedung SMP</t>
  </si>
  <si>
    <t>PEKERJAAN KABEL FEEDER</t>
  </si>
  <si>
    <t>Pengadaan, pemasangan dan pengujian peralatan Kabel Feeder lengkap dengan aksesoris sesuai RKS, gambar dan spesifikasi.</t>
  </si>
  <si>
    <t>Set</t>
  </si>
  <si>
    <r>
      <rPr>
        <rFont val="Arial"/>
        <strike/>
        <color theme="1"/>
        <sz val="11.0"/>
      </rPr>
      <t>22A02GJ04016AYX00</t>
    </r>
    <r>
      <rPr>
        <rFont val="Arial"/>
        <color theme="1"/>
        <sz val="11.0"/>
      </rPr>
      <t xml:space="preserve">
 22A02GJ04016XXX00</t>
    </r>
  </si>
  <si>
    <t>SDP SMP ke LP &amp; PP LT-1 Gedung SMP</t>
  </si>
  <si>
    <t>Extrana, NYY 4 X 16 mmsq</t>
  </si>
  <si>
    <t>m</t>
  </si>
  <si>
    <t>22/04/2026</t>
  </si>
  <si>
    <t>22/05/2026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</si>
  <si>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</si>
  <si>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t>Extrana, NYA 1 X 6 mmsq</t>
  </si>
  <si>
    <r>
      <rPr>
        <rFont val="Arial"/>
        <strike/>
        <color theme="1"/>
        <sz val="11.0"/>
      </rPr>
      <t>22A02GJ04016AYX00</t>
    </r>
    <r>
      <rPr>
        <rFont val="Arial"/>
        <color theme="1"/>
        <sz val="11.0"/>
      </rPr>
      <t xml:space="preserve">
 22A02GJ04016XXX00</t>
    </r>
  </si>
  <si>
    <t>SDP SMP ke LP &amp; PP LT-2 Gedung SMP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</si>
  <si>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</si>
  <si>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22B58OA00090GRZ00</t>
    </r>
    <r>
      <rPr>
        <rFont val="Arial"/>
        <color theme="1"/>
        <sz val="11.0"/>
      </rPr>
      <t xml:space="preserve">
 22B58OA00090XXX00</t>
    </r>
  </si>
  <si>
    <t>Lighting Lt.1</t>
  </si>
  <si>
    <t>LED Outbow 9W 900 Lumen 6000K CRI90 IP20</t>
  </si>
  <si>
    <t>21/05/2026</t>
  </si>
  <si>
    <t>18/06/2026</t>
  </si>
  <si>
    <r>
      <rPr>
        <rFont val="Arial"/>
        <strike/>
        <color theme="1"/>
        <sz val="11.0"/>
      </rPr>
      <t>22B58OA00120GRZ00</t>
    </r>
    <r>
      <rPr>
        <rFont val="Arial"/>
        <color theme="1"/>
        <sz val="11.0"/>
      </rPr>
      <t xml:space="preserve">
22B58OA10012XXA01</t>
    </r>
  </si>
  <si>
    <t>LED Outbow 12W 1200 Lumen 6000K CRI90 IP20</t>
  </si>
  <si>
    <r>
      <rPr>
        <rFont val="Arial"/>
        <strike/>
        <color theme="1"/>
        <sz val="11.0"/>
      </rPr>
      <t>22B58OA00400GRZ00</t>
    </r>
    <r>
      <rPr>
        <rFont val="Arial"/>
        <color theme="1"/>
        <sz val="11.0"/>
      </rPr>
      <t xml:space="preserve">
  22B58OA00400XXX00</t>
    </r>
  </si>
  <si>
    <t>LED Outbow TL 40w 5200 Lumen 6000K CRI80</t>
  </si>
  <si>
    <r>
      <rPr>
        <rFont val="Arial"/>
        <strike/>
        <color theme="1"/>
        <sz val="11.0"/>
      </rPr>
      <t>22B58XA00000BQX01</t>
    </r>
    <r>
      <rPr>
        <rFont val="Arial"/>
        <color theme="1"/>
        <sz val="11.0"/>
      </rPr>
      <t xml:space="preserve">
22B58XA00000XXX01</t>
    </r>
  </si>
  <si>
    <t>Saklar Tunggal Lantai- 1</t>
  </si>
  <si>
    <t>Saklar Tunggal</t>
  </si>
  <si>
    <t>19/05/2026</t>
  </si>
  <si>
    <r>
      <rPr>
        <rFont val="Arial"/>
        <strike/>
        <color theme="1"/>
        <sz val="11.0"/>
      </rPr>
      <t>22B58XA00000BQX02</t>
    </r>
    <r>
      <rPr>
        <rFont val="Arial"/>
        <color theme="1"/>
        <sz val="11.0"/>
      </rPr>
      <t xml:space="preserve">
22B58XA00000XXX02</t>
    </r>
  </si>
  <si>
    <t>Saklar Ganda Lantai- 1</t>
  </si>
  <si>
    <t>Saklar Ganda</t>
  </si>
  <si>
    <r>
      <rPr>
        <rFont val="Arial"/>
        <strike/>
        <color theme="1"/>
        <sz val="11.0"/>
      </rPr>
      <t>22B58XA00000BQX03</t>
    </r>
    <r>
      <rPr>
        <rFont val="Arial"/>
        <color theme="1"/>
        <sz val="11.0"/>
      </rPr>
      <t xml:space="preserve">
22B58XA00000XXX03</t>
    </r>
  </si>
  <si>
    <t>Saklar Hotel Lantai- 1</t>
  </si>
  <si>
    <t>Saklar Hotel</t>
  </si>
  <si>
    <t>A</t>
  </si>
  <si>
    <r>
      <rPr>
        <rFont val="Arial"/>
        <strike/>
        <color theme="1"/>
        <sz val="11.0"/>
      </rPr>
      <t>22B58RD00000BQX01</t>
    </r>
    <r>
      <rPr>
        <rFont val="Arial"/>
        <color theme="1"/>
        <sz val="11.0"/>
      </rPr>
      <t xml:space="preserve">
22B58RD00000XXX01</t>
    </r>
  </si>
  <si>
    <t>Stop Kontak Dinding Lt.1</t>
  </si>
  <si>
    <t>Stop Kontak</t>
  </si>
  <si>
    <t>22B58RD10001XXC00</t>
  </si>
  <si>
    <t>Stop kontak lantai</t>
  </si>
  <si>
    <t>Stop Kontak, 1 Lubang Outbow</t>
  </si>
  <si>
    <t>30/06/2026</t>
  </si>
  <si>
    <r>
      <rPr>
        <rFont val="Arial"/>
        <strike/>
        <color theme="1"/>
        <sz val="11.0"/>
      </rPr>
      <t>22B58OA00090GRZ00</t>
    </r>
    <r>
      <rPr>
        <rFont val="Arial"/>
        <color theme="1"/>
        <sz val="11.0"/>
      </rPr>
      <t xml:space="preserve">
22B58OA00090XXX10</t>
    </r>
  </si>
  <si>
    <t>Lighting Lt. 2</t>
  </si>
  <si>
    <r>
      <rPr>
        <rFont val="Arial"/>
        <strike/>
        <color theme="1"/>
        <sz val="11.0"/>
      </rPr>
      <t>Osram, LED 9W 900 Lumen 6000K CRI90 IP20</t>
    </r>
    <r>
      <rPr>
        <rFont val="Arial"/>
        <color theme="1"/>
        <sz val="11.0"/>
      </rPr>
      <t xml:space="preserve">
 LED Inbow 9W 900 Lumen 6000K CRI90 IP20</t>
    </r>
  </si>
  <si>
    <r>
      <rPr>
        <rFont val="Arial"/>
        <strike/>
        <color theme="1"/>
        <sz val="11.0"/>
      </rPr>
      <t>22B58OA00090GRZ00</t>
    </r>
    <r>
      <rPr>
        <rFont val="Arial"/>
        <color theme="1"/>
        <sz val="11.0"/>
      </rPr>
      <t xml:space="preserve">
22B58OA00090XXX10</t>
    </r>
  </si>
  <si>
    <r>
      <rPr>
        <rFont val="Arial"/>
        <strike/>
        <color theme="1"/>
        <sz val="11.0"/>
      </rPr>
      <t>Osram, LED 9W 900 Lumen 6000K CRI90 IP20</t>
    </r>
    <r>
      <rPr>
        <rFont val="Arial"/>
        <color theme="1"/>
        <sz val="11.0"/>
      </rPr>
      <t xml:space="preserve">
 LED Inbow 9W 900 Lumen 6000K CRI90 IP20</t>
    </r>
  </si>
  <si>
    <r>
      <rPr>
        <rFont val="Arial"/>
        <strike/>
        <color theme="1"/>
        <sz val="11.0"/>
      </rPr>
      <t>22B58OA00120GRZ00</t>
    </r>
    <r>
      <rPr>
        <rFont val="Arial"/>
        <color theme="1"/>
        <sz val="11.0"/>
      </rPr>
      <t xml:space="preserve">
  22B58OA00120XXX10</t>
    </r>
  </si>
  <si>
    <r>
      <rPr>
        <rFont val="Arial"/>
        <strike/>
        <color theme="1"/>
        <sz val="11.0"/>
      </rPr>
      <t xml:space="preserve">Osram, LED 12W 1200 Lumen 6000K CRI90 IP20
</t>
    </r>
    <r>
      <rPr>
        <rFont val="Arial"/>
        <color theme="1"/>
        <sz val="11.0"/>
      </rPr>
      <t>LED Inbow 12W 1200 Lumen 6000K CRI90 IP20</t>
    </r>
  </si>
  <si>
    <t>C</t>
  </si>
  <si>
    <r>
      <rPr>
        <rFont val="Arial"/>
        <strike/>
        <color theme="1"/>
        <sz val="11.0"/>
      </rPr>
      <t>22B58OA00400GRZ00</t>
    </r>
    <r>
      <rPr>
        <rFont val="Arial"/>
        <color theme="1"/>
        <sz val="11.0"/>
      </rPr>
      <t xml:space="preserve">
  22B58OA00400XXX10</t>
    </r>
  </si>
  <si>
    <t>LED TL 40w 5200 Lumen 6000K CRI80</t>
  </si>
  <si>
    <r>
      <rPr>
        <rFont val="Arial"/>
        <strike/>
        <color theme="1"/>
        <sz val="11.0"/>
      </rPr>
      <t xml:space="preserve">22B58OA00018BSX00
</t>
    </r>
    <r>
      <rPr>
        <rFont val="Arial"/>
        <color theme="1"/>
        <sz val="11.0"/>
      </rPr>
      <t>22B58OA01018XXX11</t>
    </r>
  </si>
  <si>
    <t>LP TLED Outbow ACR tube 1x18W 6500K + NB</t>
  </si>
  <si>
    <t>22B58OA00000BSX00</t>
  </si>
  <si>
    <t>Exit LED AL 2MK PCR 3W</t>
  </si>
  <si>
    <r>
      <rPr>
        <rFont val="Arial"/>
        <strike/>
        <color theme="1"/>
        <sz val="11.0"/>
      </rPr>
      <t>22B58XA00000BQX01</t>
    </r>
    <r>
      <rPr>
        <rFont val="Arial"/>
        <color theme="1"/>
        <sz val="11.0"/>
      </rPr>
      <t xml:space="preserve">
22B58XA00000XXX01</t>
    </r>
  </si>
  <si>
    <t>Saklar Tunggal Lt.2</t>
  </si>
  <si>
    <r>
      <rPr>
        <rFont val="Arial"/>
        <strike/>
        <color theme="1"/>
        <sz val="11.0"/>
      </rPr>
      <t>22B58XA00000BQX02</t>
    </r>
    <r>
      <rPr>
        <rFont val="Arial"/>
        <color theme="1"/>
        <sz val="11.0"/>
      </rPr>
      <t xml:space="preserve">
22B58XA00000XXX02</t>
    </r>
  </si>
  <si>
    <t>Saklar Ganda Lantai- 2</t>
  </si>
  <si>
    <r>
      <rPr>
        <rFont val="Arial"/>
        <strike/>
        <color theme="1"/>
        <sz val="11.0"/>
      </rPr>
      <t>22B58XA00000BQX03</t>
    </r>
    <r>
      <rPr>
        <rFont val="Arial"/>
        <color theme="1"/>
        <sz val="11.0"/>
      </rPr>
      <t xml:space="preserve">
22B58XA00000XXX03</t>
    </r>
  </si>
  <si>
    <t>Saklar Hotel Lantai- 2</t>
  </si>
  <si>
    <r>
      <rPr>
        <rFont val="Arial"/>
        <strike/>
        <color theme="1"/>
        <sz val="11.0"/>
      </rPr>
      <t>22B58RD00000BQX01</t>
    </r>
    <r>
      <rPr>
        <rFont val="Arial"/>
        <color theme="1"/>
        <sz val="11.0"/>
      </rPr>
      <t xml:space="preserve">
22B58RD00000XXX01</t>
    </r>
  </si>
  <si>
    <t>Stop Kontak Lt.2</t>
  </si>
  <si>
    <t>22B58OA20134BSD00</t>
  </si>
  <si>
    <t>Exit Lamp</t>
  </si>
  <si>
    <t>Philips, EM134C Emergency Razor with L&amp;R legend</t>
  </si>
  <si>
    <t>Instalasi Penerangan lantai 1</t>
  </si>
  <si>
    <t>Instalasi Penerangan</t>
  </si>
  <si>
    <t>Titik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</si>
  <si>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</si>
  <si>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t>Kabel penerangan</t>
  </si>
  <si>
    <t>Kabel, NYM 3 X 2.5 mm</t>
  </si>
  <si>
    <t>M</t>
  </si>
  <si>
    <t>22A16QE00020XXX00</t>
  </si>
  <si>
    <t>Pipa Conduit Ø20mm</t>
  </si>
  <si>
    <t>Conduit Pipe Ukuran Ø20mm</t>
  </si>
  <si>
    <t>22B50EN20001XXX00</t>
  </si>
  <si>
    <t>Tee Dos PVC</t>
  </si>
  <si>
    <t>Tee Dus (PVC)</t>
  </si>
  <si>
    <t>pcs</t>
  </si>
  <si>
    <t>22B50EN10004XXX00</t>
  </si>
  <si>
    <t>Inbow</t>
  </si>
  <si>
    <t>Inbow Dus (Kotak)</t>
  </si>
  <si>
    <t>22/04/2030</t>
  </si>
  <si>
    <t>22B48EB00020XXX00</t>
  </si>
  <si>
    <t>Knee/Elbow Pipa Conduit uk. 20mm</t>
  </si>
  <si>
    <t>Elbow Joint Pipa Conduit PVC 20mm</t>
  </si>
  <si>
    <t>22B49EB10020XXA00</t>
  </si>
  <si>
    <t>Sok Pipa Conduit uk. 20mm</t>
  </si>
  <si>
    <t>Joint Pipe, Socket Conduit Pipe PVC Dia. 20mm</t>
  </si>
  <si>
    <t>31/05/2026</t>
  </si>
  <si>
    <t>22B85QY20005XXX20</t>
  </si>
  <si>
    <t>Klem Pipa Conduit uk. 20mm</t>
  </si>
  <si>
    <t>Clamp Conduit Pipe PVC Ø20 mm 2 lubang</t>
  </si>
  <si>
    <t>18/05/2026</t>
  </si>
  <si>
    <t>22D10IM00006XXX00</t>
  </si>
  <si>
    <t>Fisher dan scrup S6</t>
  </si>
  <si>
    <t>Fisher + Staping S6</t>
  </si>
  <si>
    <t>13/05/2026</t>
  </si>
  <si>
    <t>Instalasi Stop Kontak lantai 1</t>
  </si>
  <si>
    <t>Instalasi Stop Kontak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</si>
  <si>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</si>
  <si>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t>Kabel stop kontak</t>
  </si>
  <si>
    <t>Conduit Pipe Ukuran 20 mm</t>
  </si>
  <si>
    <t>Inbow Dus</t>
  </si>
  <si>
    <t>22/04/2031</t>
  </si>
  <si>
    <t>Instalasi Penerangan lantai 2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</si>
  <si>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</si>
  <si>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t>22/04/2032</t>
  </si>
  <si>
    <t>Instalasi Stop Kontak lantai 2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</si>
  <si>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</si>
  <si>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t>22/04/2033</t>
  </si>
  <si>
    <t>22D17KF20005XXX00</t>
  </si>
  <si>
    <t>Instalasi Kabel Tray Lantai -1</t>
  </si>
  <si>
    <t>- Kabel Tray uk.200 x 50 mm
  Merek : FORTIS, IONEE,Trias, DS- Tray, Baruna, Credent plus</t>
  </si>
  <si>
    <t>15/05/2026</t>
  </si>
  <si>
    <t>Instalasi Kabel Tray Lantai -2</t>
  </si>
  <si>
    <t>22B72OM00003XXE03</t>
  </si>
  <si>
    <t>Bracket Kabel Tray Lt. 1 &amp; 2</t>
  </si>
  <si>
    <t>Bracket Kabel Tray uk.200 x 50 mm
  Ref. DWG 91.1-03E021</t>
  </si>
  <si>
    <t xml:space="preserve">ON PROSES PRODUKSI REKA </t>
  </si>
  <si>
    <t>STOK</t>
  </si>
  <si>
    <t>22B58TN00040CVX02</t>
  </si>
  <si>
    <t>PEKERJAAN PROTEKSI PETIR GEDUNG SMP</t>
  </si>
  <si>
    <t>- Splitzen 1" c/w Support 2 mtr</t>
  </si>
  <si>
    <t>set</t>
  </si>
  <si>
    <t>- Base Plate</t>
  </si>
  <si>
    <t>- Clam BC L ukuran NYA 50mm dengan Pipa Conduit HI 25mm</t>
  </si>
  <si>
    <t>- Box Test Grounding</t>
  </si>
  <si>
    <t>- Cadweld connection</t>
  </si>
  <si>
    <t>- Extrana, Kabel NYA 50mm</t>
  </si>
  <si>
    <t>- Grounding bar</t>
  </si>
  <si>
    <t>- Copper Grounding Rod dia.5/8,3m</t>
  </si>
  <si>
    <t>- Coupling bounded Grounding Rod</t>
  </si>
  <si>
    <t>- Ring grounding intregated BC 50mm</t>
  </si>
  <si>
    <r>
      <rPr>
        <rFont val="Arial"/>
        <strike/>
        <color theme="1"/>
        <sz val="11.0"/>
      </rPr>
      <t>22B58OA00120GRZ00</t>
    </r>
    <r>
      <rPr>
        <rFont val="Arial"/>
        <color theme="1"/>
        <sz val="11.0"/>
      </rPr>
      <t xml:space="preserve">
22B58OA00120XXX10</t>
    </r>
  </si>
  <si>
    <t>Lampu, LED Inbow 12W 1200 Lumen 6000K CRI90 IP20</t>
  </si>
  <si>
    <r>
      <rPr>
        <rFont val="Arial"/>
        <strike/>
        <color theme="1"/>
        <sz val="11.0"/>
      </rPr>
      <t xml:space="preserve">22B58OA01018GRB11
</t>
    </r>
    <r>
      <rPr>
        <rFont val="Arial"/>
        <color theme="1"/>
        <sz val="11.0"/>
      </rPr>
      <t>22B58OA01018XXX11</t>
    </r>
  </si>
  <si>
    <t>Lampu, LP TLED Outbow ACR tube 1x18W 6500K + NB</t>
  </si>
  <si>
    <t>Gedung SMA</t>
  </si>
  <si>
    <r>
      <rPr>
        <rFont val="Arial"/>
        <strike/>
        <color theme="1"/>
        <sz val="11.0"/>
      </rPr>
      <t>22A02GJ04016AYX00</t>
    </r>
    <r>
      <rPr>
        <rFont val="Arial"/>
        <color theme="1"/>
        <sz val="11.0"/>
      </rPr>
      <t xml:space="preserve">
 22A02GJ04016XXX00</t>
    </r>
  </si>
  <si>
    <t>SDP SMA ke LP &amp; PP LT-1 Gedung SMA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</si>
  <si>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</si>
  <si>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22A02GJ04016AYX00</t>
    </r>
    <r>
      <rPr>
        <rFont val="Arial"/>
        <color theme="1"/>
        <sz val="11.0"/>
      </rPr>
      <t xml:space="preserve">
 22A02GJ04016XXX00</t>
    </r>
  </si>
  <si>
    <t>SDP SMA ke LP &amp; PP LT-2 Gedung SMA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</si>
  <si>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</si>
  <si>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22B58OA00090GRZ00</t>
    </r>
    <r>
      <rPr>
        <rFont val="Arial"/>
        <color theme="1"/>
        <sz val="11.0"/>
      </rPr>
      <t xml:space="preserve">
 22B58OA00090XXX00</t>
    </r>
  </si>
  <si>
    <r>
      <rPr>
        <rFont val="Arial"/>
        <strike/>
        <color theme="1"/>
        <sz val="11.0"/>
      </rPr>
      <t>22B58OA00120GRZ00</t>
    </r>
    <r>
      <rPr>
        <rFont val="Arial"/>
        <color theme="1"/>
        <sz val="11.0"/>
      </rPr>
      <t xml:space="preserve">
22B58OA10012XXA01</t>
    </r>
  </si>
  <si>
    <r>
      <rPr>
        <rFont val="Arial"/>
        <strike/>
        <color theme="1"/>
        <sz val="11.0"/>
      </rPr>
      <t>22B58OA00400GRZ00</t>
    </r>
    <r>
      <rPr>
        <rFont val="Arial"/>
        <color theme="1"/>
        <sz val="11.0"/>
      </rPr>
      <t xml:space="preserve">
  22B58OA00400XXX00</t>
    </r>
  </si>
  <si>
    <r>
      <rPr>
        <rFont val="Arial"/>
        <strike/>
        <color theme="1"/>
        <sz val="11.0"/>
      </rPr>
      <t>22B58XA00000BQX01</t>
    </r>
    <r>
      <rPr>
        <rFont val="Arial"/>
        <color theme="1"/>
        <sz val="11.0"/>
      </rPr>
      <t xml:space="preserve">
22B58XA00000XXX01</t>
    </r>
  </si>
  <si>
    <r>
      <rPr>
        <rFont val="Arial"/>
        <strike/>
        <color theme="1"/>
        <sz val="11.0"/>
      </rPr>
      <t>22B58XA00000BQX02</t>
    </r>
    <r>
      <rPr>
        <rFont val="Arial"/>
        <color theme="1"/>
        <sz val="11.0"/>
      </rPr>
      <t xml:space="preserve">
22B58XA00000XXX02</t>
    </r>
  </si>
  <si>
    <r>
      <rPr>
        <rFont val="Arial"/>
        <strike/>
        <color theme="1"/>
        <sz val="11.0"/>
      </rPr>
      <t>22B58XA00000BQX03</t>
    </r>
    <r>
      <rPr>
        <rFont val="Arial"/>
        <color theme="1"/>
        <sz val="11.0"/>
      </rPr>
      <t xml:space="preserve">
22B58XA00000XXX03</t>
    </r>
  </si>
  <si>
    <r>
      <rPr>
        <rFont val="Arial"/>
        <strike/>
        <color theme="1"/>
        <sz val="11.0"/>
      </rPr>
      <t>22B58RD00000BQX01</t>
    </r>
    <r>
      <rPr>
        <rFont val="Arial"/>
        <color theme="1"/>
        <sz val="11.0"/>
      </rPr>
      <t xml:space="preserve">
22B58RD00000XXX01</t>
    </r>
  </si>
  <si>
    <r>
      <rPr>
        <rFont val="Arial"/>
        <strike/>
        <color theme="1"/>
        <sz val="11.0"/>
      </rPr>
      <t>22B58OA00090GRZ00</t>
    </r>
    <r>
      <rPr>
        <rFont val="Arial"/>
        <color theme="1"/>
        <sz val="11.0"/>
      </rPr>
      <t xml:space="preserve">
  22B58OA00090XXX10</t>
    </r>
  </si>
  <si>
    <t>LED Inbow 9W 900 Lumen 6000K CRI90 IP20</t>
  </si>
  <si>
    <r>
      <rPr>
        <rFont val="Arial"/>
        <strike/>
        <color theme="1"/>
        <sz val="11.0"/>
      </rPr>
      <t>22B58OA00090GRZ00</t>
    </r>
    <r>
      <rPr>
        <rFont val="Arial"/>
        <color theme="1"/>
        <sz val="11.0"/>
      </rPr>
      <t xml:space="preserve">
  22B58OA00090XXX10</t>
    </r>
  </si>
  <si>
    <r>
      <rPr>
        <rFont val="Arial"/>
        <strike/>
        <color theme="1"/>
        <sz val="11.0"/>
      </rPr>
      <t>22B58OA00400GRZ00</t>
    </r>
    <r>
      <rPr>
        <rFont val="Arial"/>
        <color theme="1"/>
        <sz val="11.0"/>
      </rPr>
      <t xml:space="preserve">
  22B58OA00400XXX10</t>
    </r>
  </si>
  <si>
    <r>
      <rPr>
        <rFont val="Arial"/>
        <strike/>
        <color theme="1"/>
        <sz val="11.0"/>
      </rPr>
      <t xml:space="preserve">22B58OA00018BSX00
</t>
    </r>
    <r>
      <rPr>
        <rFont val="Arial"/>
        <color theme="1"/>
        <sz val="11.0"/>
      </rPr>
      <t>22B58OA01018XXX11</t>
    </r>
  </si>
  <si>
    <t>19/05/206</t>
  </si>
  <si>
    <r>
      <rPr>
        <rFont val="Arial"/>
        <strike/>
        <color theme="1"/>
        <sz val="11.0"/>
      </rPr>
      <t>22B58XA00000BQX01</t>
    </r>
    <r>
      <rPr>
        <rFont val="Arial"/>
        <color theme="1"/>
        <sz val="11.0"/>
      </rPr>
      <t xml:space="preserve">
22B58XA00000XXX01</t>
    </r>
  </si>
  <si>
    <r>
      <rPr>
        <rFont val="Arial"/>
        <strike/>
        <color theme="1"/>
        <sz val="11.0"/>
      </rPr>
      <t>22B58XA00000BQX02</t>
    </r>
    <r>
      <rPr>
        <rFont val="Arial"/>
        <color theme="1"/>
        <sz val="11.0"/>
      </rPr>
      <t xml:space="preserve">
22B58XA00000XXX02</t>
    </r>
  </si>
  <si>
    <r>
      <rPr>
        <rFont val="Arial"/>
        <strike/>
        <color theme="1"/>
        <sz val="11.0"/>
      </rPr>
      <t>22B58XA00000BQX03</t>
    </r>
    <r>
      <rPr>
        <rFont val="Arial"/>
        <color theme="1"/>
        <sz val="11.0"/>
      </rPr>
      <t xml:space="preserve">
22B58XA00000XXX03</t>
    </r>
  </si>
  <si>
    <r>
      <rPr>
        <rFont val="Arial"/>
        <strike/>
        <color theme="1"/>
        <sz val="11.0"/>
      </rPr>
      <t>22B58RD00000BQX01</t>
    </r>
    <r>
      <rPr>
        <rFont val="Arial"/>
        <color theme="1"/>
        <sz val="11.0"/>
      </rPr>
      <t xml:space="preserve">
22B58RD00000XXX01</t>
    </r>
  </si>
  <si>
    <t>165 161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</si>
  <si>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</si>
  <si>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t>22/04/2034</t>
  </si>
  <si>
    <t>14/05/2026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</si>
  <si>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</si>
  <si>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t>22/04/2035</t>
  </si>
  <si>
    <t>129 137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</si>
  <si>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</si>
  <si>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t>`</t>
  </si>
  <si>
    <t>22/04/2036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</si>
  <si>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</si>
  <si>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t>22/04/2037</t>
  </si>
  <si>
    <t>Kabel Tray Elektrikal &amp; Elektronik Lantai 1</t>
  </si>
  <si>
    <t>Kabel Tray Elektrikal &amp; Elektronik Lantai 2</t>
  </si>
  <si>
    <t>22B58TN00040CVX03</t>
  </si>
  <si>
    <t>PEKERJAAN PROTEKSI PETIR GEDUNG SMA</t>
  </si>
  <si>
    <r>
      <rPr>
        <rFont val="Arial"/>
        <strike/>
        <color theme="1"/>
        <sz val="11.0"/>
      </rPr>
      <t>22B58OA00120GRZ00</t>
    </r>
    <r>
      <rPr>
        <rFont val="Arial"/>
        <color theme="1"/>
        <sz val="11.0"/>
      </rPr>
      <t xml:space="preserve">
22B58OA00120XXX10</t>
    </r>
  </si>
  <si>
    <r>
      <rPr>
        <rFont val="Arial"/>
        <strike/>
        <color theme="1"/>
        <sz val="11.0"/>
      </rPr>
      <t xml:space="preserve">22B58OA01018GRB11
</t>
    </r>
    <r>
      <rPr>
        <rFont val="Arial"/>
        <color theme="1"/>
        <sz val="11.0"/>
      </rPr>
      <t>22B58OA01018XXX11</t>
    </r>
  </si>
  <si>
    <r>
      <rPr>
        <rFont val="Arial"/>
        <strike/>
        <color theme="1"/>
        <sz val="11.0"/>
      </rPr>
      <t>22A02GJ04016AYX00</t>
    </r>
    <r>
      <rPr>
        <rFont val="Arial"/>
        <color theme="1"/>
        <sz val="11.0"/>
      </rPr>
      <t xml:space="preserve">
 22A02GJ04016XXX00</t>
    </r>
  </si>
  <si>
    <t>SDP Asrama Putri SD-1 ke LP &amp; PP LT-1 Gedung Asrama PutrI SD-1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</si>
  <si>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</si>
  <si>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22A02GJ04016AYX00</t>
    </r>
    <r>
      <rPr>
        <rFont val="Arial"/>
        <color theme="1"/>
        <sz val="11.0"/>
      </rPr>
      <t xml:space="preserve">
 22A02GJ04016XXX00</t>
    </r>
  </si>
  <si>
    <t>SDP Asrama Putri SD-1 ke LP &amp; PP LT-2 Gedung Asrama PutrI SD-1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</si>
  <si>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</si>
  <si>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22A02GJ04016AYX00</t>
    </r>
    <r>
      <rPr>
        <rFont val="Arial"/>
        <color theme="1"/>
        <sz val="11.0"/>
      </rPr>
      <t xml:space="preserve">
 22A02GJ04016XXX00</t>
    </r>
  </si>
  <si>
    <t>SDP Asrama Putri SD-2 ke LP &amp; PP LT-1 Gedung Asrama PutrI SD-2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</si>
  <si>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</si>
  <si>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22A02GJ04016AYX00</t>
    </r>
    <r>
      <rPr>
        <rFont val="Arial"/>
        <color theme="1"/>
        <sz val="11.0"/>
      </rPr>
      <t xml:space="preserve">
 22A02GJ04016XXX00</t>
    </r>
  </si>
  <si>
    <t>SDP Asrama Putri SD-2 ke LP &amp; PP LT-2 Gedung Asrama PutrI SD-2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</si>
  <si>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</si>
  <si>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22A02GJ04016AYX00</t>
    </r>
    <r>
      <rPr>
        <rFont val="Arial"/>
        <color theme="1"/>
        <sz val="11.0"/>
      </rPr>
      <t xml:space="preserve">
 22A02GJ04016XXX00</t>
    </r>
  </si>
  <si>
    <t>SDP Asrama Putra SD-1 ke LP &amp; PP LT-1 Gedung Asrama Putra SD-1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</si>
  <si>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</si>
  <si>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22A02GJ04016AYX00</t>
    </r>
    <r>
      <rPr>
        <rFont val="Arial"/>
        <color theme="1"/>
        <sz val="11.0"/>
      </rPr>
      <t xml:space="preserve">
 22A02GJ04016XXX00</t>
    </r>
  </si>
  <si>
    <t>SDP Asrama Putra SD-1 ke LP &amp; PP LT-2 Gedung Asrama Putra SD-1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</si>
  <si>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</si>
  <si>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22A02GJ04016AYX00</t>
    </r>
    <r>
      <rPr>
        <rFont val="Arial"/>
        <color theme="1"/>
        <sz val="11.0"/>
      </rPr>
      <t xml:space="preserve">
 22A02GJ04016XXX00</t>
    </r>
  </si>
  <si>
    <t>SDP Asrama Putra SD-2 ke LP &amp; PP LT-1 Gedung Asrama Putra SD-2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</si>
  <si>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</si>
  <si>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22A02GJ04016AYX00</t>
    </r>
    <r>
      <rPr>
        <rFont val="Arial"/>
        <color theme="1"/>
        <sz val="11.0"/>
      </rPr>
      <t xml:space="preserve">
 22A02GJ04016XXX00</t>
    </r>
  </si>
  <si>
    <t>SDP Asrama Putra SD-2 ke LP &amp; PP LT-2 Gedung Asrama Putra SD-2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</si>
  <si>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</si>
  <si>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22A02GJ04016AYX00</t>
    </r>
    <r>
      <rPr>
        <rFont val="Arial"/>
        <color theme="1"/>
        <sz val="11.0"/>
      </rPr>
      <t xml:space="preserve">
 22A02GJ04016XXX00</t>
    </r>
  </si>
  <si>
    <t>SDP Asrama Putra SMP ke LP &amp; PP LT-1 Gedung Asrama Putra SMP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</si>
  <si>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</si>
  <si>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22A02GJ04016AYX00</t>
    </r>
    <r>
      <rPr>
        <rFont val="Arial"/>
        <color theme="1"/>
        <sz val="11.0"/>
      </rPr>
      <t xml:space="preserve">
 22A02GJ04016XXX00</t>
    </r>
  </si>
  <si>
    <t>SDP Asrama Putra SMP ke LP &amp; PP LT-2 Gedung Asrama Putra SMP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</si>
  <si>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</si>
  <si>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22A02GJ04016AYX00</t>
    </r>
    <r>
      <rPr>
        <rFont val="Arial"/>
        <color theme="1"/>
        <sz val="11.0"/>
      </rPr>
      <t xml:space="preserve">
 22A02GJ04016XXX00</t>
    </r>
  </si>
  <si>
    <t>SDP Asrama Putri SMP ke LP &amp; PP LT-1 Gedung Asrama PutrI SMP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</si>
  <si>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</si>
  <si>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22A02GJ04016AYX00</t>
    </r>
    <r>
      <rPr>
        <rFont val="Arial"/>
        <color theme="1"/>
        <sz val="11.0"/>
      </rPr>
      <t xml:space="preserve">
 22A02GJ04016XXX00</t>
    </r>
  </si>
  <si>
    <t>SDP Asrama Putri SMP ke LP &amp; PP LT-2 Gedung Asrama Putra SMP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</si>
  <si>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</si>
  <si>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22A02GJ04016AYX00</t>
    </r>
    <r>
      <rPr>
        <rFont val="Arial"/>
        <color theme="1"/>
        <sz val="11.0"/>
      </rPr>
      <t xml:space="preserve">
 22A02GJ04016XXX00</t>
    </r>
  </si>
  <si>
    <t>SDP Asrama Putra SMA ke LP &amp; PP LT-1 Gedung Asrama Putra SMA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</si>
  <si>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</si>
  <si>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22A02GJ04016AYX00</t>
    </r>
    <r>
      <rPr>
        <rFont val="Arial"/>
        <color theme="1"/>
        <sz val="11.0"/>
      </rPr>
      <t xml:space="preserve">
 22A02GJ04016XXX00</t>
    </r>
  </si>
  <si>
    <t>SDP Asrama Putra SMA ke LP &amp; PP LT-2 Gedung Asrama Putra SMA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</si>
  <si>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</si>
  <si>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22A02GJ04016AYX00</t>
    </r>
    <r>
      <rPr>
        <rFont val="Arial"/>
        <color theme="1"/>
        <sz val="11.0"/>
      </rPr>
      <t xml:space="preserve">
 22A02GJ04016XXX00</t>
    </r>
  </si>
  <si>
    <t>SDP Asrama Putri SMA ke LP &amp; PP LT-1 Gedung Asrama PutrI SMA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</si>
  <si>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</si>
  <si>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22A02GJ04016AYX00</t>
    </r>
    <r>
      <rPr>
        <rFont val="Arial"/>
        <color theme="1"/>
        <sz val="11.0"/>
      </rPr>
      <t xml:space="preserve">
 22A02GJ04016XXX00</t>
    </r>
  </si>
  <si>
    <t>SDP Asrama Putri SMA ke LP &amp; PP LT-2 Gedung Asrama Putra SMA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</si>
  <si>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</si>
  <si>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22B58OA10006GRA10</t>
    </r>
    <r>
      <rPr>
        <rFont val="Arial"/>
        <color theme="1"/>
        <sz val="11.0"/>
      </rPr>
      <t xml:space="preserve">
22B58OA10006XXX00</t>
    </r>
  </si>
  <si>
    <t>LP Downlight Outbow RD 100 E27 SAVY LED BULB 6W 6500K</t>
  </si>
  <si>
    <r>
      <rPr>
        <rFont val="Arial"/>
        <strike/>
        <color theme="1"/>
        <sz val="11.0"/>
      </rPr>
      <t xml:space="preserve">22B58OA10010XXX00
</t>
    </r>
    <r>
      <rPr>
        <rFont val="Arial"/>
        <color theme="1"/>
        <sz val="11.0"/>
      </rPr>
      <t>22B58OA10010XXX10</t>
    </r>
  </si>
  <si>
    <r>
      <rPr>
        <rFont val="&quot;\0022Times New Roman\0022&quot;"/>
        <color rgb="FF000000"/>
        <sz val="11.0"/>
      </rPr>
      <t xml:space="preserve">LP Downlight </t>
    </r>
    <r>
      <rPr>
        <rFont val="&quot;\0022Times New Roman\0022&quot;"/>
        <strike/>
        <color rgb="FF000000"/>
        <sz val="11.0"/>
      </rPr>
      <t>Outbow</t>
    </r>
    <r>
      <rPr>
        <rFont val="&quot;\0022Times New Roman\0022&quot;"/>
        <color rgb="FF000000"/>
        <sz val="11.0"/>
      </rPr>
      <t xml:space="preserve"> Inbow RD 100 E27 SAVY LED BULB 10W 6500K</t>
    </r>
  </si>
  <si>
    <r>
      <rPr>
        <rFont val="&quot;Times New Roman&quot;, serif"/>
        <strike/>
        <color rgb="FF000000"/>
        <sz val="11.0"/>
      </rPr>
      <t>22B58OA10012XXX00</t>
    </r>
    <r>
      <rPr>
        <rFont val="&quot;Times New Roman&quot;, serif"/>
        <color rgb="FF000000"/>
        <sz val="11.0"/>
      </rPr>
      <t xml:space="preserve">
 22B58OA10012XXA02</t>
    </r>
  </si>
  <si>
    <t>LP Downlight Outbow 1RD 125 E27 SAVY LED BULB 12W 6500K</t>
  </si>
  <si>
    <r>
      <rPr>
        <rFont val="Arial"/>
        <strike/>
        <color theme="1"/>
        <sz val="11.0"/>
      </rPr>
      <t>22B58OA10015GRA00</t>
    </r>
    <r>
      <rPr>
        <rFont val="Arial"/>
        <color theme="1"/>
        <sz val="11.0"/>
      </rPr>
      <t xml:space="preserve">
22B58OA10015XXX00</t>
    </r>
  </si>
  <si>
    <r>
      <rPr>
        <rFont val="Arial"/>
        <strike/>
        <color theme="1"/>
        <sz val="11.0"/>
      </rPr>
      <t xml:space="preserve">LP Downlight Outbow 14,5W 6500K </t>
    </r>
    <r>
      <rPr>
        <rFont val="Arial"/>
        <color theme="1"/>
        <sz val="11.0"/>
      </rPr>
      <t xml:space="preserve">
LP Downlight Outbow RD 150 E27 SAVY LEDBULB 14,5W 6500K</t>
    </r>
  </si>
  <si>
    <r>
      <rPr>
        <rFont val="&quot;Times New Roman&quot;, serif"/>
        <strike/>
        <color rgb="FF000000"/>
        <sz val="11.0"/>
      </rPr>
      <t>22B58OA10015GRA00</t>
    </r>
    <r>
      <rPr>
        <rFont val="&quot;Times New Roman&quot;, serif"/>
        <color rgb="FF000000"/>
        <sz val="11.0"/>
      </rPr>
      <t xml:space="preserve">
 22B58OA20015XXX00</t>
    </r>
  </si>
  <si>
    <r>
      <rPr>
        <rFont val="&quot;\0022Times New Roman\0022\, serif&quot;"/>
        <strike/>
        <color rgb="FF000000"/>
        <sz val="11.0"/>
      </rPr>
      <t xml:space="preserve">LP Downlight Outbow 14,5W 6500K
</t>
    </r>
    <r>
      <rPr>
        <rFont val="&quot;\0022Times New Roman\0022\, serif&quot;"/>
        <color rgb="FF000000"/>
        <sz val="11.0"/>
      </rPr>
      <t xml:space="preserve"> LP Downlight Outbow SM D 150 E27 2 LEDBULB 14.5W</t>
    </r>
  </si>
  <si>
    <r>
      <rPr>
        <rFont val="Arial"/>
        <strike/>
        <color theme="1"/>
        <sz val="11.0"/>
      </rPr>
      <t>22B58OA01036GRB00</t>
    </r>
    <r>
      <rPr>
        <rFont val="Arial"/>
        <color theme="1"/>
        <sz val="11.0"/>
      </rPr>
      <t xml:space="preserve">
22B58OA01015XXB00</t>
    </r>
  </si>
  <si>
    <r>
      <rPr>
        <rFont val="Arial"/>
        <color theme="1"/>
        <sz val="11.0"/>
      </rPr>
      <t xml:space="preserve">Lampu TL LED Outbow </t>
    </r>
    <r>
      <rPr>
        <rFont val="Arial"/>
        <strike/>
        <color theme="1"/>
        <sz val="11.0"/>
      </rPr>
      <t>GMS CG ACR 1 x 36w</t>
    </r>
    <r>
      <rPr>
        <rFont val="Arial"/>
        <color theme="1"/>
        <sz val="11.0"/>
      </rPr>
      <t xml:space="preserve"> T-LED tube Corepro 1x15W 6500K</t>
    </r>
  </si>
  <si>
    <r>
      <rPr>
        <rFont val="Arial"/>
        <strike/>
        <color theme="1"/>
        <sz val="11.0"/>
      </rPr>
      <t>22B58OA01036XXX00</t>
    </r>
    <r>
      <rPr>
        <rFont val="Arial"/>
        <color theme="1"/>
        <sz val="11.0"/>
      </rPr>
      <t xml:space="preserve">
22B58OA01015XXB01</t>
    </r>
  </si>
  <si>
    <t>Lampu TL LED Outbow GMS CG ACR 1 x 36w T-LED tube Corepro 1x15W 6500K +NB</t>
  </si>
  <si>
    <r>
      <rPr>
        <rFont val="Arial"/>
        <strike/>
        <color theme="1"/>
        <sz val="11.0"/>
      </rPr>
      <t>22B58XA00000BQX01</t>
    </r>
    <r>
      <rPr>
        <rFont val="Arial"/>
        <color theme="1"/>
        <sz val="11.0"/>
      </rPr>
      <t xml:space="preserve">
22B58XA00000XXX01</t>
    </r>
  </si>
  <si>
    <t>Saklar Tunggal Lt.1</t>
  </si>
  <si>
    <r>
      <rPr>
        <rFont val="Arial"/>
        <strike/>
        <color theme="1"/>
        <sz val="11.0"/>
      </rPr>
      <t>22B58XA00000BQX02</t>
    </r>
    <r>
      <rPr>
        <rFont val="Arial"/>
        <color theme="1"/>
        <sz val="11.0"/>
      </rPr>
      <t xml:space="preserve">
22B58XA00000XXX02</t>
    </r>
  </si>
  <si>
    <t>Saklar Ganda Lt.1</t>
  </si>
  <si>
    <t>22B59VD02240NAX07</t>
  </si>
  <si>
    <t>Sensor Detector OSENZA OFFICE G2/220-240 FS1 Lantai- 1</t>
  </si>
  <si>
    <t>- Sensor Detector OSENZA OFFICE G2/220-240 FS1</t>
  </si>
  <si>
    <r>
      <rPr>
        <rFont val="Arial"/>
        <strike/>
        <color theme="1"/>
        <sz val="11.0"/>
      </rPr>
      <t>22B58XA00000BQX03</t>
    </r>
    <r>
      <rPr>
        <rFont val="Arial"/>
        <color theme="1"/>
        <sz val="11.0"/>
      </rPr>
      <t xml:space="preserve">
22B58XA00000XXX03</t>
    </r>
  </si>
  <si>
    <t>Saklar Hotel Lt. 1</t>
  </si>
  <si>
    <r>
      <rPr>
        <rFont val="Arial"/>
        <strike/>
        <color theme="1"/>
        <sz val="11.0"/>
      </rPr>
      <t>22B58RD00000BQX01</t>
    </r>
    <r>
      <rPr>
        <rFont val="Arial"/>
        <color theme="1"/>
        <sz val="11.0"/>
      </rPr>
      <t xml:space="preserve">
22B58RD00000XXX01</t>
    </r>
  </si>
  <si>
    <r>
      <rPr>
        <rFont val="Arial"/>
        <strike/>
        <color theme="1"/>
        <sz val="11.0"/>
      </rPr>
      <t>22B58OA10006GRA10</t>
    </r>
    <r>
      <rPr>
        <rFont val="Arial"/>
        <color theme="1"/>
        <sz val="11.0"/>
      </rPr>
      <t xml:space="preserve">
  22B58OA10006XXX10</t>
    </r>
  </si>
  <si>
    <t>LP Downlight Inbow RD 100 E27 SAVY LEDBULB 6W 6500K</t>
  </si>
  <si>
    <r>
      <rPr>
        <rFont val="Arial"/>
        <strike/>
        <color theme="1"/>
        <sz val="11.0"/>
      </rPr>
      <t>22B58OA10010GRA00</t>
    </r>
    <r>
      <rPr>
        <rFont val="Arial"/>
        <color theme="1"/>
        <sz val="11.0"/>
      </rPr>
      <t xml:space="preserve">
22B58OA10010XXX10</t>
    </r>
  </si>
  <si>
    <t>LP Downlight Inbow RD 100 E27 SAVY LEDBULB 10W 6500K</t>
  </si>
  <si>
    <r>
      <rPr>
        <rFont val="&quot;Times New Roman&quot;, serif"/>
        <strike/>
        <color rgb="FF000000"/>
        <sz val="11.0"/>
      </rPr>
      <t xml:space="preserve">22B58OA10012GRA10
</t>
    </r>
    <r>
      <rPr>
        <rFont val="&quot;Times New Roman&quot;, serif"/>
        <color rgb="FF000000"/>
        <sz val="11.0"/>
      </rPr>
      <t xml:space="preserve">  22B58OA10120XXX10</t>
    </r>
  </si>
  <si>
    <t>LP Downlight Inbow RD 125 E27 SAVY LEDBULB 12W 6500K</t>
  </si>
  <si>
    <r>
      <rPr>
        <rFont val="Arial"/>
        <strike/>
        <color theme="1"/>
        <sz val="11.0"/>
      </rPr>
      <t>22B58OA10015GRA10</t>
    </r>
    <r>
      <rPr>
        <rFont val="Arial"/>
        <color theme="1"/>
        <sz val="11.0"/>
      </rPr>
      <t xml:space="preserve">
22B58OA10015XXX00</t>
    </r>
  </si>
  <si>
    <r>
      <rPr>
        <rFont val="Arial"/>
        <strike/>
        <color theme="1"/>
        <sz val="11.0"/>
      </rPr>
      <t xml:space="preserve">LP Downlight Outbow 14,5W 6500K 
</t>
    </r>
    <r>
      <rPr>
        <rFont val="Arial"/>
        <color theme="1"/>
        <sz val="11.0"/>
      </rPr>
      <t xml:space="preserve"> LP Downlight Outbow RD 150 E27 SAVY LEDBULB 14,5W 6500K</t>
    </r>
  </si>
  <si>
    <r>
      <rPr>
        <rFont val="Arial"/>
        <strike/>
        <color theme="1"/>
        <sz val="11.0"/>
      </rPr>
      <t>22B58OA01036GRB10</t>
    </r>
    <r>
      <rPr>
        <rFont val="Arial"/>
        <color theme="1"/>
        <sz val="11.0"/>
      </rPr>
      <t xml:space="preserve">
22B58OA01036XXX10</t>
    </r>
  </si>
  <si>
    <t>Lampu TL LED Inbow GMS CG ACR 1 x 36w T-LED tube Corepro 1x15W 6500K</t>
  </si>
  <si>
    <r>
      <rPr>
        <rFont val="Arial"/>
        <strike/>
        <color theme="1"/>
        <sz val="11.0"/>
      </rPr>
      <t>22B58OA01036GRB11</t>
    </r>
    <r>
      <rPr>
        <rFont val="Arial"/>
        <color theme="1"/>
        <sz val="11.0"/>
      </rPr>
      <t xml:space="preserve">
22B58OA01015XXB11</t>
    </r>
  </si>
  <si>
    <t>Lampu TL LED Inbow GMS CG ACR 1 x 36w T-LED tube Corepro 1x15W 6500K +NB</t>
  </si>
  <si>
    <r>
      <rPr>
        <rFont val="Arial"/>
        <strike/>
        <color theme="1"/>
        <sz val="11.0"/>
      </rPr>
      <t xml:space="preserve">22B58OA15015GRA00
</t>
    </r>
    <r>
      <rPr>
        <rFont val="Arial"/>
        <color theme="1"/>
        <sz val="11.0"/>
      </rPr>
      <t>22B58OA15015XXX00</t>
    </r>
  </si>
  <si>
    <t>Lampu Gantung Decoratif HL SMD 150 E27 14.5W</t>
  </si>
  <si>
    <r>
      <rPr>
        <rFont val="Arial"/>
        <strike/>
        <color theme="1"/>
        <sz val="11.0"/>
      </rPr>
      <t>22B58XA00000BQX01</t>
    </r>
    <r>
      <rPr>
        <rFont val="Arial"/>
        <color theme="1"/>
        <sz val="11.0"/>
      </rPr>
      <t xml:space="preserve">
22B58XA00000XXX01</t>
    </r>
  </si>
  <si>
    <r>
      <rPr>
        <rFont val="Arial"/>
        <strike/>
        <color theme="1"/>
        <sz val="11.0"/>
      </rPr>
      <t>22B58XA00000BQX02</t>
    </r>
    <r>
      <rPr>
        <rFont val="Arial"/>
        <color theme="1"/>
        <sz val="11.0"/>
      </rPr>
      <t xml:space="preserve">
22B58XA00000XXX02</t>
    </r>
  </si>
  <si>
    <t>Saklar Ganda Lt.2</t>
  </si>
  <si>
    <r>
      <rPr>
        <rFont val="Arial"/>
        <strike/>
        <color theme="1"/>
        <sz val="11.0"/>
      </rPr>
      <t>22B58XA00000BQX03</t>
    </r>
    <r>
      <rPr>
        <rFont val="Arial"/>
        <color theme="1"/>
        <sz val="11.0"/>
      </rPr>
      <t xml:space="preserve">
22B58XA00000XXX03</t>
    </r>
  </si>
  <si>
    <r>
      <rPr>
        <rFont val="Arial"/>
        <strike/>
        <color theme="1"/>
        <sz val="11.0"/>
      </rPr>
      <t>22B58RD00000BQX01</t>
    </r>
    <r>
      <rPr>
        <rFont val="Arial"/>
        <color theme="1"/>
        <sz val="11.0"/>
      </rPr>
      <t xml:space="preserve">
22B58RD00000XXX01</t>
    </r>
  </si>
  <si>
    <t>Stop Kontak dinding Lt.2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</si>
  <si>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</si>
  <si>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t>22/04/2038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</si>
  <si>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</si>
  <si>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t>22/04/2039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</si>
  <si>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</si>
  <si>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</si>
  <si>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t>22B58TN00040CVX04</t>
  </si>
  <si>
    <t>PEKERJAAN PROTEKSI PETIR ASRAMA PUTRA &amp; PUTRI</t>
  </si>
  <si>
    <t>- Clam BC L ukuran NYA 50mm dengan Pipa Condoit HI 25mm</t>
  </si>
  <si>
    <r>
      <rPr>
        <rFont val="Arial"/>
        <strike/>
        <color theme="1"/>
        <sz val="11.0"/>
      </rPr>
      <t>22A02GJ40100AYX00</t>
    </r>
    <r>
      <rPr>
        <rFont val="Arial"/>
        <color theme="1"/>
        <sz val="11.0"/>
      </rPr>
      <t xml:space="preserve">
22A02GJ40100XXX00</t>
    </r>
  </si>
  <si>
    <t>SDP Rusun Guru-1 ke LP &amp; PP LT-1 Gedung Rusun Guru-1</t>
  </si>
  <si>
    <t>NYY 4 X 10 mmsq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</si>
  <si>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</si>
  <si>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t>NYA 1 X 6 mmsq</t>
  </si>
  <si>
    <r>
      <rPr>
        <rFont val="Arial"/>
        <strike/>
        <color theme="1"/>
        <sz val="11.0"/>
      </rPr>
      <t>22A02GJ40100AYX00</t>
    </r>
    <r>
      <rPr>
        <rFont val="Arial"/>
        <color theme="1"/>
        <sz val="11.0"/>
      </rPr>
      <t xml:space="preserve">
22A02GJ40100XXX00</t>
    </r>
  </si>
  <si>
    <t>SDP Rusun Guru-1 ke LP &amp; PP LT-2 Gedung Rusun Guru-1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</si>
  <si>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</si>
  <si>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t>22C11ER00001XXX00</t>
  </si>
  <si>
    <t>KWH Meter</t>
  </si>
  <si>
    <t>- KWH Meter
  Merek : GAE</t>
  </si>
  <si>
    <r>
      <rPr>
        <rFont val="Arial"/>
        <strike/>
        <color theme="1"/>
        <sz val="11.0"/>
      </rPr>
      <t>22B58OA10006GRA10</t>
    </r>
    <r>
      <rPr>
        <rFont val="Arial"/>
        <color theme="1"/>
        <sz val="11.0"/>
      </rPr>
      <t xml:space="preserve">
22B58OA10006XXX00</t>
    </r>
  </si>
  <si>
    <r>
      <rPr>
        <rFont val="Arial"/>
        <strike/>
        <color theme="1"/>
        <sz val="11.0"/>
      </rPr>
      <t>LP Downlight Outbow 6W 6500K</t>
    </r>
    <r>
      <rPr>
        <rFont val="Arial"/>
        <color theme="1"/>
        <sz val="11.0"/>
      </rPr>
      <t xml:space="preserve">
 LP Downlight Outbow RD 100 E27 SAVY LEDBULB 6W 6500K</t>
    </r>
  </si>
  <si>
    <r>
      <rPr>
        <rFont val="Arial"/>
        <strike/>
        <color theme="1"/>
        <sz val="11.0"/>
      </rPr>
      <t>22B58OA10010GRA00</t>
    </r>
    <r>
      <rPr>
        <rFont val="Arial"/>
        <color theme="1"/>
        <sz val="11.0"/>
      </rPr>
      <t xml:space="preserve">
22B58OA10010XXX00</t>
    </r>
  </si>
  <si>
    <r>
      <rPr>
        <rFont val="Arial"/>
        <strike/>
        <color theme="1"/>
        <sz val="11.0"/>
      </rPr>
      <t xml:space="preserve">LP Downlight Outbow 10W 6500K
</t>
    </r>
    <r>
      <rPr>
        <rFont val="Arial"/>
        <color theme="1"/>
        <sz val="11.0"/>
      </rPr>
      <t>LP Downlight Outbow RD 100 E27 SAVY LEDBULB 10W 6500K</t>
    </r>
  </si>
  <si>
    <r>
      <rPr>
        <rFont val="&quot;Times New Roman&quot;, serif"/>
        <strike/>
        <color rgb="FF000000"/>
        <sz val="11.0"/>
      </rPr>
      <t>22B58OA10012XXX00</t>
    </r>
    <r>
      <rPr>
        <rFont val="&quot;Times New Roman&quot;, serif"/>
        <color rgb="FF000000"/>
        <sz val="11.0"/>
      </rPr>
      <t xml:space="preserve">
 22B58OA10012XXA02</t>
    </r>
  </si>
  <si>
    <r>
      <rPr>
        <rFont val="Arial"/>
        <strike/>
        <color theme="1"/>
        <sz val="11.0"/>
      </rPr>
      <t>LP Downlight Outbow 12W 6500K</t>
    </r>
    <r>
      <rPr>
        <rFont val="Arial"/>
        <color theme="1"/>
        <sz val="11.0"/>
      </rPr>
      <t xml:space="preserve">
 LP Downlight Outbow RD 125 E27 SAVY LEDBULB 12W 6500K</t>
    </r>
  </si>
  <si>
    <r>
      <rPr>
        <rFont val="Arial"/>
        <strike/>
        <color theme="1"/>
        <sz val="11.0"/>
      </rPr>
      <t>22B58OA10015GRA00</t>
    </r>
    <r>
      <rPr>
        <rFont val="Arial"/>
        <color theme="1"/>
        <sz val="11.0"/>
      </rPr>
      <t xml:space="preserve">
22B58OA10015XXX00</t>
    </r>
  </si>
  <si>
    <r>
      <rPr>
        <rFont val="Arial"/>
        <strike/>
        <color theme="1"/>
        <sz val="11.0"/>
      </rPr>
      <t xml:space="preserve">LP Downlight Outbow 14,5W 6500K </t>
    </r>
    <r>
      <rPr>
        <rFont val="Arial"/>
        <color theme="1"/>
        <sz val="11.0"/>
      </rPr>
      <t xml:space="preserve">
LP Downlight Outbow RD 150 E27 SAVY LEDBULB 14,5W 6500K</t>
    </r>
  </si>
  <si>
    <r>
      <rPr>
        <rFont val="&quot;Times New Roman&quot;, serif"/>
        <strike/>
        <color rgb="FF000000"/>
        <sz val="11.0"/>
      </rPr>
      <t>22B58OA10015GRA00</t>
    </r>
    <r>
      <rPr>
        <rFont val="&quot;Times New Roman&quot;, serif"/>
        <color rgb="FF000000"/>
        <sz val="11.0"/>
      </rPr>
      <t xml:space="preserve">
 22B58OA20015XXX00</t>
    </r>
  </si>
  <si>
    <r>
      <rPr>
        <rFont val="&quot;\0022Times New Roman\0022\, serif&quot;"/>
        <strike/>
        <color rgb="FF000000"/>
        <sz val="11.0"/>
      </rPr>
      <t xml:space="preserve">LP Downlight Outbow 14,5W 6500K
</t>
    </r>
    <r>
      <rPr>
        <rFont val="&quot;\0022Times New Roman\0022\, serif&quot;"/>
        <color rgb="FF000000"/>
        <sz val="11.0"/>
      </rPr>
      <t xml:space="preserve"> LP Downlight Outbow SM D 150 E27 2 LEDBULB 14.5W</t>
    </r>
  </si>
  <si>
    <r>
      <rPr>
        <rFont val="&quot;Times New Roman&quot;, serif"/>
        <strike/>
        <color rgb="FF000000"/>
        <sz val="11.0"/>
      </rPr>
      <t>22B58OA10015GRA00</t>
    </r>
    <r>
      <rPr>
        <rFont val="&quot;Times New Roman&quot;, serif"/>
        <color rgb="FF000000"/>
        <sz val="11.0"/>
      </rPr>
      <t xml:space="preserve">
 22B58OA20015XXX00</t>
    </r>
  </si>
  <si>
    <r>
      <rPr>
        <rFont val="&quot;\0022Times New Roman\0022\, serif&quot;"/>
        <strike/>
        <color rgb="FF000000"/>
        <sz val="11.0"/>
      </rPr>
      <t xml:space="preserve">LP Downlight Outbow 14,5W 6500K
</t>
    </r>
    <r>
      <rPr>
        <rFont val="&quot;\0022Times New Roman\0022\, serif&quot;"/>
        <color rgb="FF000000"/>
        <sz val="11.0"/>
      </rPr>
      <t xml:space="preserve"> LP Downlight Outbow SM D 150 E27 2 LEDBULB 14.5W</t>
    </r>
  </si>
  <si>
    <r>
      <rPr>
        <rFont val="Arial"/>
        <strike/>
        <color theme="1"/>
        <sz val="11.0"/>
      </rPr>
      <t>22B58XA00000BQX01</t>
    </r>
    <r>
      <rPr>
        <rFont val="Arial"/>
        <color theme="1"/>
        <sz val="11.0"/>
      </rPr>
      <t xml:space="preserve">
22B58XA00000XXX01</t>
    </r>
  </si>
  <si>
    <r>
      <rPr>
        <rFont val="Arial"/>
        <strike/>
        <color theme="1"/>
        <sz val="11.0"/>
      </rPr>
      <t>22B58XA00000BQX02</t>
    </r>
    <r>
      <rPr>
        <rFont val="Arial"/>
        <color theme="1"/>
        <sz val="11.0"/>
      </rPr>
      <t xml:space="preserve">
22B58XA00000XXX02</t>
    </r>
  </si>
  <si>
    <t>Sensor Gerak Lt.1</t>
  </si>
  <si>
    <t>Sensor Detector OSENZA OFFICE G2/220-240 FS1</t>
  </si>
  <si>
    <r>
      <rPr>
        <rFont val="Arial"/>
        <strike/>
        <color theme="1"/>
        <sz val="11.0"/>
      </rPr>
      <t>22B58XA00000BQX03</t>
    </r>
    <r>
      <rPr>
        <rFont val="Arial"/>
        <color theme="1"/>
        <sz val="11.0"/>
      </rPr>
      <t xml:space="preserve">
22B58XA00000XXX03</t>
    </r>
  </si>
  <si>
    <t>Saklar Hotel Lt.1</t>
  </si>
  <si>
    <r>
      <rPr>
        <rFont val="Arial"/>
        <strike/>
        <color theme="1"/>
        <sz val="11.0"/>
      </rPr>
      <t>22B58RD00000BQX01</t>
    </r>
    <r>
      <rPr>
        <rFont val="Arial"/>
        <color theme="1"/>
        <sz val="11.0"/>
      </rPr>
      <t xml:space="preserve">
22B58RD00000XXX01</t>
    </r>
  </si>
  <si>
    <t>Stop Kontak Lt.1</t>
  </si>
  <si>
    <r>
      <rPr>
        <rFont val="Arial"/>
        <strike/>
        <color theme="1"/>
        <sz val="11.0"/>
      </rPr>
      <t>22B58OA10006GRA10</t>
    </r>
    <r>
      <rPr>
        <rFont val="Arial"/>
        <color theme="1"/>
        <sz val="11.0"/>
      </rPr>
      <t xml:space="preserve">
22B58OA10006XXX00</t>
    </r>
  </si>
  <si>
    <r>
      <rPr>
        <rFont val="Arial"/>
        <strike/>
        <color theme="1"/>
        <sz val="11.0"/>
      </rPr>
      <t>LP Downlight Outbow 6W 6500K</t>
    </r>
    <r>
      <rPr>
        <rFont val="Arial"/>
        <color theme="1"/>
        <sz val="11.0"/>
      </rPr>
      <t xml:space="preserve">
 LP Downlight Outbow RD 100 E27 SAVY LEDBULB 6W 6500K</t>
    </r>
  </si>
  <si>
    <r>
      <rPr>
        <rFont val="Arial"/>
        <strike/>
        <color theme="1"/>
        <sz val="11.0"/>
      </rPr>
      <t>22B58OA10010GRA00</t>
    </r>
    <r>
      <rPr>
        <rFont val="Arial"/>
        <color theme="1"/>
        <sz val="11.0"/>
      </rPr>
      <t xml:space="preserve">
22B58OA10010XXX00</t>
    </r>
  </si>
  <si>
    <r>
      <rPr>
        <rFont val="Arial"/>
        <strike/>
        <color theme="1"/>
        <sz val="11.0"/>
      </rPr>
      <t xml:space="preserve">LP Downlight Outbow 10W 6500K
</t>
    </r>
    <r>
      <rPr>
        <rFont val="Arial"/>
        <color theme="1"/>
        <sz val="11.0"/>
      </rPr>
      <t>LP Downlight Outbow RD 100 E27 SAVY LEDBULB 10W 6500K</t>
    </r>
  </si>
  <si>
    <r>
      <rPr>
        <rFont val="&quot;Times New Roman&quot;, serif"/>
        <strike/>
        <color rgb="FF000000"/>
        <sz val="11.0"/>
      </rPr>
      <t xml:space="preserve">22B58OA10012GRA10
</t>
    </r>
    <r>
      <rPr>
        <rFont val="&quot;Times New Roman&quot;, serif"/>
        <color rgb="FF000000"/>
        <sz val="11.0"/>
      </rPr>
      <t xml:space="preserve">  22B58OA10120XXX10</t>
    </r>
  </si>
  <si>
    <r>
      <rPr>
        <rFont val="Arial"/>
        <strike/>
        <color theme="1"/>
        <sz val="11.0"/>
      </rPr>
      <t>LP Downlight Outbow 12W 6500K</t>
    </r>
    <r>
      <rPr>
        <rFont val="Arial"/>
        <color theme="1"/>
        <sz val="11.0"/>
      </rPr>
      <t xml:space="preserve">
 LP Downlight Outbow RD 125 E27 SAVY LEDBULB 12W 6500K</t>
    </r>
  </si>
  <si>
    <r>
      <rPr>
        <rFont val="Arial"/>
        <strike/>
        <color theme="1"/>
        <sz val="11.0"/>
      </rPr>
      <t>22B58OA10015GRA10</t>
    </r>
    <r>
      <rPr>
        <rFont val="Arial"/>
        <color theme="1"/>
        <sz val="11.0"/>
      </rPr>
      <t xml:space="preserve">
22B58OA10015XXX00</t>
    </r>
  </si>
  <si>
    <r>
      <rPr>
        <rFont val="Arial"/>
        <strike/>
        <color theme="1"/>
        <sz val="11.0"/>
      </rPr>
      <t xml:space="preserve">LP Downlight Outbow 14,5W 6500K 
</t>
    </r>
    <r>
      <rPr>
        <rFont val="Arial"/>
        <color theme="1"/>
        <sz val="11.0"/>
      </rPr>
      <t xml:space="preserve"> LP Downlight Outbow RD 150 E27 SAVY LEDBULB 14,5W 6500K</t>
    </r>
  </si>
  <si>
    <r>
      <rPr>
        <rFont val="Arial"/>
        <strike/>
        <color theme="1"/>
        <sz val="11.0"/>
      </rPr>
      <t xml:space="preserve"> 22B58OA10015XXX10</t>
    </r>
    <r>
      <rPr>
        <rFont val="Arial"/>
        <color theme="1"/>
        <sz val="11.0"/>
      </rPr>
      <t xml:space="preserve">
22B58OA20015XXX00</t>
    </r>
  </si>
  <si>
    <r>
      <rPr>
        <rFont val="Arial"/>
        <strike/>
        <color theme="1"/>
        <sz val="11.0"/>
      </rPr>
      <t>LP Downlight Outbow 14,5W 6500K</t>
    </r>
    <r>
      <rPr>
        <rFont val="Arial"/>
        <color theme="1"/>
        <sz val="11.0"/>
      </rPr>
      <t xml:space="preserve">
LP Downlight Outbow SM D 150 E27 2 LEDBULB 14.5W</t>
    </r>
  </si>
  <si>
    <r>
      <rPr>
        <rFont val="Arial"/>
        <strike/>
        <color theme="1"/>
        <sz val="11.0"/>
      </rPr>
      <t>22B58OA01036GRB10</t>
    </r>
    <r>
      <rPr>
        <rFont val="Arial"/>
        <strike/>
        <color theme="1"/>
        <sz val="11.0"/>
      </rPr>
      <t xml:space="preserve">
22B58OA01036XXX10</t>
    </r>
  </si>
  <si>
    <r>
      <rPr>
        <rFont val="Arial"/>
        <strike/>
        <color theme="1"/>
        <sz val="11.0"/>
      </rPr>
      <t>22B58OA01036GRB11</t>
    </r>
    <r>
      <rPr>
        <rFont val="Arial"/>
        <strike/>
        <color theme="1"/>
        <sz val="11.0"/>
      </rPr>
      <t xml:space="preserve">
22B58OA01036XXX11</t>
    </r>
  </si>
  <si>
    <r>
      <rPr>
        <rFont val="Arial"/>
        <strike/>
        <color theme="1"/>
        <sz val="11.0"/>
      </rPr>
      <t>22B58OA15015GRA01</t>
    </r>
    <r>
      <rPr>
        <rFont val="Arial"/>
        <color theme="1"/>
        <sz val="11.0"/>
      </rPr>
      <t xml:space="preserve">
22B58OA15015XXX01</t>
    </r>
  </si>
  <si>
    <t>Lampu Gantung Decoratif HL SMD 150 E27 LEDBULB 14.5W</t>
  </si>
  <si>
    <r>
      <rPr>
        <rFont val="Arial"/>
        <strike/>
        <color theme="1"/>
        <sz val="11.0"/>
      </rPr>
      <t>22B58XA00000BQX01</t>
    </r>
    <r>
      <rPr>
        <rFont val="Arial"/>
        <color theme="1"/>
        <sz val="11.0"/>
      </rPr>
      <t xml:space="preserve">
22B58XA00000XXX01</t>
    </r>
  </si>
  <si>
    <r>
      <rPr>
        <rFont val="Arial"/>
        <strike/>
        <color theme="1"/>
        <sz val="11.0"/>
      </rPr>
      <t>22B58XA00000BQX02</t>
    </r>
    <r>
      <rPr>
        <rFont val="Arial"/>
        <color theme="1"/>
        <sz val="11.0"/>
      </rPr>
      <t xml:space="preserve">
22B58XA00000XXX02</t>
    </r>
  </si>
  <si>
    <r>
      <rPr>
        <rFont val="Arial"/>
        <strike/>
        <color theme="1"/>
        <sz val="11.0"/>
      </rPr>
      <t>22B58XA00000BQX03</t>
    </r>
    <r>
      <rPr>
        <rFont val="Arial"/>
        <color theme="1"/>
        <sz val="11.0"/>
      </rPr>
      <t xml:space="preserve">
22B58XA00000XXX03</t>
    </r>
  </si>
  <si>
    <t>Saklar Hotel Lt.2</t>
  </si>
  <si>
    <r>
      <rPr>
        <rFont val="Arial"/>
        <strike/>
        <color theme="1"/>
        <sz val="11.0"/>
      </rPr>
      <t>22B58RD00000BQX01</t>
    </r>
    <r>
      <rPr>
        <rFont val="Arial"/>
        <color theme="1"/>
        <sz val="11.0"/>
      </rPr>
      <t xml:space="preserve">
22B58RD00000XXX01</t>
    </r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</si>
  <si>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</si>
  <si>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</si>
  <si>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</si>
  <si>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</si>
  <si>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t>22B58TN00040CVX05</t>
  </si>
  <si>
    <t>PEKERJAAN PROTEKSI PETIR ASRAMA GURU PUTRA ( 2 Gedung)</t>
  </si>
  <si>
    <r>
      <rPr>
        <rFont val="Arial"/>
        <strike/>
        <color theme="1"/>
        <sz val="11.0"/>
      </rPr>
      <t>22A02GJ40100AYX00</t>
    </r>
    <r>
      <rPr>
        <rFont val="Arial"/>
        <color theme="1"/>
        <sz val="11.0"/>
      </rPr>
      <t xml:space="preserve">
22A02GJ40100XXX00</t>
    </r>
  </si>
  <si>
    <t>SDP Rusun Guru-2 ke LP &amp; PP LT-1 Gedung Rusun Guru-2</t>
  </si>
  <si>
    <t>Extrana, NYY 4 X 10 mmsq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</si>
  <si>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</si>
  <si>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22A02GJ40100AYX00</t>
    </r>
    <r>
      <rPr>
        <rFont val="Arial"/>
        <color theme="1"/>
        <sz val="11.0"/>
      </rPr>
      <t xml:space="preserve">
22A02GJ40100XXX00</t>
    </r>
  </si>
  <si>
    <t>SDP Rusun Guru-2 ke LP &amp; PP LT-2 Gedung Rusun Guru-2</t>
  </si>
  <si>
    <r>
      <rPr>
        <rFont val="&quot;Times New Roman&quot;, serif"/>
        <strike/>
        <color rgb="FF000000"/>
        <sz val="11.0"/>
      </rPr>
      <t xml:space="preserve">22B58RN00002XXX11
</t>
    </r>
    <r>
      <rPr>
        <rFont val="&quot;Times New Roman&quot;, serif"/>
        <color rgb="FF000000"/>
        <sz val="11.0"/>
      </rPr>
      <t xml:space="preserve">22B58RX00002XXX11        </t>
    </r>
  </si>
  <si>
    <t>MCB Box Lt.1</t>
  </si>
  <si>
    <t>MCB 2A 1P, 220VAC
Merek : Eaton, LS, Schneider, ABB, CHINT, Fuji Electric, Terasaki, Legrand</t>
  </si>
  <si>
    <r>
      <rPr>
        <rFont val="&quot;Times New Roman&quot;, serif"/>
        <strike/>
        <color rgb="FF000000"/>
        <sz val="11.0"/>
      </rPr>
      <t xml:space="preserve">22B58RN00002XXX11
</t>
    </r>
    <r>
      <rPr>
        <rFont val="&quot;Times New Roman&quot;, serif"/>
        <color rgb="FF000000"/>
        <sz val="11.0"/>
      </rPr>
      <t xml:space="preserve">22B58RX00002XXX11        </t>
    </r>
  </si>
  <si>
    <t>MCB Box Lt.2</t>
  </si>
  <si>
    <r>
      <rPr>
        <rFont val="&quot;Times New Roman&quot;, serif"/>
        <strike/>
        <color rgb="FF000000"/>
        <sz val="11.0"/>
      </rPr>
      <t xml:space="preserve">22B58RN00002XXX11
</t>
    </r>
    <r>
      <rPr>
        <rFont val="&quot;Times New Roman&quot;, serif"/>
        <color rgb="FF000000"/>
        <sz val="11.0"/>
      </rPr>
      <t xml:space="preserve">22B58RX00002XXX11        </t>
    </r>
  </si>
  <si>
    <r>
      <rPr>
        <rFont val="&quot;Times New Roman&quot;, serif"/>
        <strike/>
        <color rgb="FF000000"/>
        <sz val="11.0"/>
      </rPr>
      <t xml:space="preserve">22B58RN00002XXX11
</t>
    </r>
    <r>
      <rPr>
        <rFont val="&quot;Times New Roman&quot;, serif"/>
        <color rgb="FF000000"/>
        <sz val="11.0"/>
      </rPr>
      <t xml:space="preserve">22B58RX00002XXX11        </t>
    </r>
  </si>
  <si>
    <t>22B58EO00040XXX00</t>
  </si>
  <si>
    <t>MCB Box (Isi 4 MCB)</t>
  </si>
  <si>
    <t>MCB BOX</t>
  </si>
  <si>
    <r>
      <rPr>
        <rFont val="Arial"/>
        <strike/>
        <color theme="1"/>
        <sz val="11.0"/>
      </rPr>
      <t>22A02GA01060AYX00</t>
    </r>
    <r>
      <rPr>
        <rFont val="Arial"/>
        <color theme="1"/>
        <sz val="11.0"/>
      </rPr>
      <t xml:space="preserve">
  22A02GA01060XXX00</t>
    </r>
  </si>
  <si>
    <r>
      <rPr>
        <rFont val="Arial"/>
        <strike/>
        <color theme="1"/>
        <sz val="11.0"/>
      </rPr>
      <t>22B58OA10006GRA10</t>
    </r>
    <r>
      <rPr>
        <rFont val="Arial"/>
        <color theme="1"/>
        <sz val="11.0"/>
      </rPr>
      <t xml:space="preserve">
22B58OA10006XXX00</t>
    </r>
  </si>
  <si>
    <r>
      <rPr>
        <rFont val="Arial"/>
        <strike/>
        <color theme="1"/>
        <sz val="11.0"/>
      </rPr>
      <t>LP Downlight Outbow 6W 6500K</t>
    </r>
    <r>
      <rPr>
        <rFont val="Arial"/>
        <color theme="1"/>
        <sz val="11.0"/>
      </rPr>
      <t xml:space="preserve">
 LP Downlight Outbow RD 100 E27 SAVY LEDBULB 6W 6500K</t>
    </r>
  </si>
  <si>
    <r>
      <rPr>
        <rFont val="Arial"/>
        <strike/>
        <color theme="1"/>
        <sz val="11.0"/>
      </rPr>
      <t>22B58OA10010GRA00</t>
    </r>
    <r>
      <rPr>
        <rFont val="Arial"/>
        <color theme="1"/>
        <sz val="11.0"/>
      </rPr>
      <t xml:space="preserve">
22B58OA10010XXX00</t>
    </r>
  </si>
  <si>
    <r>
      <rPr>
        <rFont val="Arial"/>
        <strike/>
        <color theme="1"/>
        <sz val="11.0"/>
      </rPr>
      <t xml:space="preserve">LP Downlight Outbow 10W 6500K
</t>
    </r>
    <r>
      <rPr>
        <rFont val="Arial"/>
        <color theme="1"/>
        <sz val="11.0"/>
      </rPr>
      <t>LP Downlight Outbow RD 100 E27 SAVY LEDBULB 10W 6500K</t>
    </r>
  </si>
  <si>
    <r>
      <rPr>
        <rFont val="Arial"/>
        <strike/>
        <color theme="1"/>
        <sz val="11.0"/>
      </rPr>
      <t>22B58OA10010GRA00</t>
    </r>
    <r>
      <rPr>
        <rFont val="Arial"/>
        <color theme="1"/>
        <sz val="11.0"/>
      </rPr>
      <t xml:space="preserve">
22B58OA10010XXX00</t>
    </r>
  </si>
  <si>
    <r>
      <rPr>
        <rFont val="Arial"/>
        <strike/>
        <color theme="1"/>
        <sz val="11.0"/>
      </rPr>
      <t xml:space="preserve">LP Downlight Outbow 10W 6500K
</t>
    </r>
    <r>
      <rPr>
        <rFont val="Arial"/>
        <color theme="1"/>
        <sz val="11.0"/>
      </rPr>
      <t>LP Downlight Outbow RD 100 E27 SAVY LEDBULB 10W 6500K</t>
    </r>
  </si>
  <si>
    <r>
      <rPr>
        <rFont val="&quot;Times New Roman&quot;, serif"/>
        <strike/>
        <color rgb="FF000000"/>
        <sz val="11.0"/>
      </rPr>
      <t>22B58OA10012XXX00</t>
    </r>
    <r>
      <rPr>
        <rFont val="&quot;Times New Roman&quot;, serif"/>
        <color rgb="FF000000"/>
        <sz val="11.0"/>
      </rPr>
      <t xml:space="preserve">
 22B58OA10012XXA02</t>
    </r>
  </si>
  <si>
    <r>
      <rPr>
        <rFont val="Arial"/>
        <strike/>
        <color theme="1"/>
        <sz val="11.0"/>
      </rPr>
      <t>LP Downlight Outbow 12W 6500K</t>
    </r>
    <r>
      <rPr>
        <rFont val="Arial"/>
        <color theme="1"/>
        <sz val="11.0"/>
      </rPr>
      <t xml:space="preserve">
 LP Downlight Outbow RD 125 E27 SAVY LEDBULB 12W 6500K</t>
    </r>
  </si>
  <si>
    <r>
      <rPr>
        <rFont val="Arial"/>
        <strike/>
        <color theme="1"/>
        <sz val="11.0"/>
      </rPr>
      <t>22B58OA10015GRA00</t>
    </r>
    <r>
      <rPr>
        <rFont val="Arial"/>
        <color theme="1"/>
        <sz val="11.0"/>
      </rPr>
      <t xml:space="preserve">
22B58OA10015XXX00</t>
    </r>
  </si>
  <si>
    <r>
      <rPr>
        <rFont val="Arial"/>
        <strike/>
        <color theme="1"/>
        <sz val="11.0"/>
      </rPr>
      <t xml:space="preserve">LP Downlight Outbow 14,5W 6500K </t>
    </r>
    <r>
      <rPr>
        <rFont val="Arial"/>
        <color theme="1"/>
        <sz val="11.0"/>
      </rPr>
      <t xml:space="preserve">
LP Downlight Outbow RD 150 E27 SAVY LEDBULB 14,5W 6500K</t>
    </r>
  </si>
  <si>
    <r>
      <rPr>
        <rFont val="&quot;Times New Roman&quot;, serif"/>
        <strike/>
        <color rgb="FF000000"/>
        <sz val="11.0"/>
      </rPr>
      <t>22B58OA10015GRA00</t>
    </r>
    <r>
      <rPr>
        <rFont val="&quot;Times New Roman&quot;, serif"/>
        <color rgb="FF000000"/>
        <sz val="11.0"/>
      </rPr>
      <t xml:space="preserve">
 22B58OA20015XXX00</t>
    </r>
  </si>
  <si>
    <r>
      <rPr>
        <rFont val="&quot;\0022Times New Roman\0022\, serif&quot;"/>
        <strike/>
        <color rgb="FF000000"/>
        <sz val="11.0"/>
      </rPr>
      <t xml:space="preserve">LP Downlight Outbow 14,5W 6500K
</t>
    </r>
    <r>
      <rPr>
        <rFont val="&quot;\0022Times New Roman\0022\, serif&quot;"/>
        <color rgb="FF000000"/>
        <sz val="11.0"/>
      </rPr>
      <t xml:space="preserve"> LP Downlight Outbow SM D 150 E27 2 LEDBULB 14.5W</t>
    </r>
  </si>
  <si>
    <r>
      <rPr>
        <rFont val="Times New Roman"/>
        <strike/>
        <color theme="1"/>
        <sz val="11.0"/>
      </rPr>
      <t>22B58OA10015GRA00</t>
    </r>
    <r>
      <rPr>
        <rFont val="Times New Roman"/>
        <color theme="1"/>
        <sz val="11.0"/>
      </rPr>
      <t xml:space="preserve">
 22B58OA20015XXX00</t>
    </r>
  </si>
  <si>
    <r>
      <rPr>
        <rFont val="Arial"/>
        <strike/>
        <color theme="1"/>
        <sz val="11.0"/>
      </rPr>
      <t xml:space="preserve">LP Downlight Outbow 14,5W 6500K
</t>
    </r>
    <r>
      <rPr>
        <rFont val="Arial"/>
        <color theme="1"/>
        <sz val="11.0"/>
      </rPr>
      <t xml:space="preserve"> LP Downlight Outbow SM D 150 E27 2 LEDBULB 14.5W</t>
    </r>
  </si>
  <si>
    <r>
      <rPr>
        <rFont val="Times New Roman"/>
        <strike/>
        <color theme="1"/>
        <sz val="11.0"/>
      </rPr>
      <t>22B58OA10015GRA00</t>
    </r>
    <r>
      <rPr>
        <rFont val="Times New Roman"/>
        <color theme="1"/>
        <sz val="11.0"/>
      </rPr>
      <t xml:space="preserve">
 22B58OA20015XXX00</t>
    </r>
  </si>
  <si>
    <r>
      <rPr>
        <rFont val="Arial"/>
        <strike/>
        <color theme="1"/>
        <sz val="11.0"/>
      </rPr>
      <t xml:space="preserve">LP Downlight Outbow 14,5W 6500K
</t>
    </r>
    <r>
      <rPr>
        <rFont val="Arial"/>
        <color theme="1"/>
        <sz val="11.0"/>
      </rPr>
      <t xml:space="preserve"> LP Downlight Outbow SM D 150 E27 2 LEDBULB 14.5W</t>
    </r>
  </si>
  <si>
    <r>
      <rPr>
        <rFont val="Times New Roman"/>
        <strike/>
        <color theme="1"/>
        <sz val="11.0"/>
      </rPr>
      <t>22B58OA10015GRA00</t>
    </r>
    <r>
      <rPr>
        <rFont val="Times New Roman"/>
        <color theme="1"/>
        <sz val="11.0"/>
      </rPr>
      <t xml:space="preserve">
 22B58OA20015XXX00</t>
    </r>
  </si>
  <si>
    <r>
      <rPr>
        <rFont val="Arial"/>
        <strike/>
        <color theme="1"/>
        <sz val="11.0"/>
      </rPr>
      <t xml:space="preserve">LP Downlight Outbow 14,5W 6500K
</t>
    </r>
    <r>
      <rPr>
        <rFont val="Arial"/>
        <color theme="1"/>
        <sz val="11.0"/>
      </rPr>
      <t xml:space="preserve"> LP Downlight Outbow SM D 150 E27 2 LEDBULB 14.5W</t>
    </r>
  </si>
  <si>
    <r>
      <rPr>
        <rFont val="Arial"/>
        <strike/>
        <color theme="1"/>
        <sz val="11.0"/>
      </rPr>
      <t>22B58OA01036GRB01</t>
    </r>
    <r>
      <rPr>
        <rFont val="Arial"/>
        <color theme="1"/>
        <sz val="11.0"/>
      </rPr>
      <t xml:space="preserve">
22B58OA01036XXX01</t>
    </r>
  </si>
  <si>
    <r>
      <rPr>
        <rFont val="Arial"/>
        <strike/>
        <color theme="1"/>
        <sz val="11.0"/>
      </rPr>
      <t>22B58XA00000BQX01</t>
    </r>
    <r>
      <rPr>
        <rFont val="Arial"/>
        <color theme="1"/>
        <sz val="11.0"/>
      </rPr>
      <t xml:space="preserve">
22B58XA00000XXX01</t>
    </r>
  </si>
  <si>
    <r>
      <rPr>
        <rFont val="Arial"/>
        <strike/>
        <color theme="1"/>
        <sz val="11.0"/>
      </rPr>
      <t>22B58XA00000BQX02</t>
    </r>
    <r>
      <rPr>
        <rFont val="Arial"/>
        <color theme="1"/>
        <sz val="11.0"/>
      </rPr>
      <t xml:space="preserve">
22B58XA00000XXX02</t>
    </r>
  </si>
  <si>
    <r>
      <rPr>
        <rFont val="Arial"/>
        <strike/>
        <color theme="1"/>
        <sz val="11.0"/>
      </rPr>
      <t>22B58XA00000BQX03</t>
    </r>
    <r>
      <rPr>
        <rFont val="Arial"/>
        <color theme="1"/>
        <sz val="11.0"/>
      </rPr>
      <t xml:space="preserve">
22B58XA00000XXX03</t>
    </r>
  </si>
  <si>
    <r>
      <rPr>
        <rFont val="Arial"/>
        <strike/>
        <color theme="1"/>
        <sz val="11.0"/>
      </rPr>
      <t>22B58RD00000BQX01</t>
    </r>
    <r>
      <rPr>
        <rFont val="Arial"/>
        <color theme="1"/>
        <sz val="11.0"/>
      </rPr>
      <t xml:space="preserve">
22B58RD00000XXX01</t>
    </r>
  </si>
  <si>
    <r>
      <rPr>
        <rFont val="Arial"/>
        <strike/>
        <color theme="1"/>
        <sz val="11.0"/>
      </rPr>
      <t>22B58OA10006GRA10</t>
    </r>
    <r>
      <rPr>
        <rFont val="Arial"/>
        <color theme="1"/>
        <sz val="11.0"/>
      </rPr>
      <t xml:space="preserve">
22B58OA10006XXX00</t>
    </r>
  </si>
  <si>
    <r>
      <rPr>
        <rFont val="Arial"/>
        <strike/>
        <color theme="1"/>
        <sz val="11.0"/>
      </rPr>
      <t>LP Downlight Outbow 6W 6500K</t>
    </r>
    <r>
      <rPr>
        <rFont val="Arial"/>
        <color theme="1"/>
        <sz val="11.0"/>
      </rPr>
      <t xml:space="preserve">
 LP Downlight Outbow RD 100 E27 SAVY LEDBULB 6W 6500K</t>
    </r>
  </si>
  <si>
    <r>
      <rPr>
        <rFont val="Arial"/>
        <strike/>
        <color theme="1"/>
        <sz val="11.0"/>
      </rPr>
      <t xml:space="preserve">22B58OA10010GRA10
</t>
    </r>
    <r>
      <rPr>
        <rFont val="Arial"/>
        <color theme="1"/>
        <sz val="11.0"/>
      </rPr>
      <t>22B58OA10010XXX10</t>
    </r>
  </si>
  <si>
    <r>
      <rPr>
        <rFont val="Arial"/>
        <strike/>
        <color theme="1"/>
        <sz val="11.0"/>
      </rPr>
      <t>LP Downlight Outbow 10W 6500K</t>
    </r>
    <r>
      <rPr>
        <rFont val="Arial"/>
        <color theme="1"/>
        <sz val="11.0"/>
      </rPr>
      <t xml:space="preserve">
LP Downlight Inbow RD 100 E27 SAVY LEDBULB 10W 6500K</t>
    </r>
  </si>
  <si>
    <r>
      <rPr>
        <rFont val="Arial"/>
        <strike/>
        <color theme="1"/>
        <sz val="11.0"/>
      </rPr>
      <t xml:space="preserve">22B58OA10010GRA10
</t>
    </r>
    <r>
      <rPr>
        <rFont val="Arial"/>
        <color theme="1"/>
        <sz val="11.0"/>
      </rPr>
      <t>22B58OA10010XXX10</t>
    </r>
  </si>
  <si>
    <r>
      <rPr>
        <rFont val="Arial"/>
        <strike/>
        <color theme="1"/>
        <sz val="11.0"/>
      </rPr>
      <t>LP Downlight Outbow 10W 6500K</t>
    </r>
    <r>
      <rPr>
        <rFont val="Arial"/>
        <color theme="1"/>
        <sz val="11.0"/>
      </rPr>
      <t xml:space="preserve">
LP Downlight Inbow RD 100 E27 SAVY LEDBULB 10W 6500K</t>
    </r>
  </si>
  <si>
    <r>
      <rPr>
        <rFont val="&quot;Times New Roman&quot;, serif"/>
        <strike/>
        <color rgb="FF000000"/>
        <sz val="11.0"/>
      </rPr>
      <t xml:space="preserve">22B58OA10012GRA10
</t>
    </r>
    <r>
      <rPr>
        <rFont val="&quot;Times New Roman&quot;, serif"/>
        <color rgb="FF000000"/>
        <sz val="11.0"/>
      </rPr>
      <t xml:space="preserve">  22B58OA10120XXX10</t>
    </r>
  </si>
  <si>
    <r>
      <rPr>
        <rFont val="Arial"/>
        <strike/>
        <color theme="1"/>
        <sz val="11.0"/>
      </rPr>
      <t xml:space="preserve">LP Downlight Outbow 12W 6500K
 </t>
    </r>
    <r>
      <rPr>
        <rFont val="Arial"/>
        <strike val="0"/>
        <color theme="1"/>
        <sz val="11.0"/>
      </rPr>
      <t>LP Downlight Inbow RD 125 E27 SAVY LEDBULB 12W 6500K</t>
    </r>
  </si>
  <si>
    <r>
      <rPr>
        <rFont val="Arial"/>
        <strike/>
        <color theme="1"/>
        <sz val="11.0"/>
      </rPr>
      <t>22B58OA10015GRA10</t>
    </r>
    <r>
      <rPr>
        <rFont val="Arial"/>
        <color theme="1"/>
        <sz val="11.0"/>
      </rPr>
      <t xml:space="preserve">
22B58OA10015XXX00</t>
    </r>
  </si>
  <si>
    <r>
      <rPr>
        <rFont val="Arial"/>
        <strike/>
        <color theme="1"/>
        <sz val="11.0"/>
      </rPr>
      <t xml:space="preserve">LP Downlight Outbow 14,5W 6500K 
</t>
    </r>
    <r>
      <rPr>
        <rFont val="Arial"/>
        <color theme="1"/>
        <sz val="11.0"/>
      </rPr>
      <t xml:space="preserve"> LP Downlight Outbow RD 150 E27 SAVY LEDBULB 14,5W 6500K</t>
    </r>
  </si>
  <si>
    <r>
      <rPr>
        <rFont val="Arial"/>
        <strike/>
        <color theme="1"/>
        <sz val="11.0"/>
      </rPr>
      <t xml:space="preserve"> 22B58OA10015XXX10</t>
    </r>
    <r>
      <rPr>
        <rFont val="Arial"/>
        <color theme="1"/>
        <sz val="11.0"/>
      </rPr>
      <t xml:space="preserve">
22B58OA20015XXX00</t>
    </r>
  </si>
  <si>
    <r>
      <rPr>
        <rFont val="Arial"/>
        <strike/>
        <color theme="1"/>
        <sz val="11.0"/>
      </rPr>
      <t xml:space="preserve">LP Downlight Outbow 14,5W 6500K
</t>
    </r>
    <r>
      <rPr>
        <rFont val="Arial"/>
        <color theme="1"/>
        <sz val="11.0"/>
      </rPr>
      <t xml:space="preserve"> LP Downlight Outbow SM D 150 E27 2 LEDBULB 14.5W</t>
    </r>
  </si>
  <si>
    <r>
      <rPr>
        <rFont val="Arial"/>
        <strike/>
        <color theme="1"/>
        <sz val="11.0"/>
      </rPr>
      <t>22B58OA01036GRB10</t>
    </r>
    <r>
      <rPr>
        <rFont val="Arial"/>
        <strike/>
        <color theme="1"/>
        <sz val="11.0"/>
      </rPr>
      <t xml:space="preserve">
22B58OA01036XXX10</t>
    </r>
  </si>
  <si>
    <r>
      <rPr>
        <rFont val="Arial"/>
        <strike/>
        <color theme="1"/>
        <sz val="11.0"/>
      </rPr>
      <t>22B58OA01036GRB11</t>
    </r>
    <r>
      <rPr>
        <rFont val="Arial"/>
        <strike/>
        <color theme="1"/>
        <sz val="11.0"/>
      </rPr>
      <t xml:space="preserve">
22B58OA01036XXX11</t>
    </r>
  </si>
  <si>
    <r>
      <rPr>
        <rFont val="Arial"/>
        <strike/>
        <color theme="1"/>
        <sz val="11.0"/>
      </rPr>
      <t>22B58OA15015GRA01</t>
    </r>
    <r>
      <rPr>
        <rFont val="Arial"/>
        <color theme="1"/>
        <sz val="11.0"/>
      </rPr>
      <t xml:space="preserve">
22B58OA15015XXX01</t>
    </r>
  </si>
  <si>
    <r>
      <rPr>
        <rFont val="Arial"/>
        <strike/>
        <color theme="1"/>
        <sz val="11.0"/>
      </rPr>
      <t>22B58XA00000BQX01</t>
    </r>
    <r>
      <rPr>
        <rFont val="Arial"/>
        <color theme="1"/>
        <sz val="11.0"/>
      </rPr>
      <t xml:space="preserve">
22B58XA00000XXX01</t>
    </r>
  </si>
  <si>
    <r>
      <rPr>
        <rFont val="Arial"/>
        <strike/>
        <color theme="1"/>
        <sz val="11.0"/>
      </rPr>
      <t>22B58XA00000BQX02</t>
    </r>
    <r>
      <rPr>
        <rFont val="Arial"/>
        <color theme="1"/>
        <sz val="11.0"/>
      </rPr>
      <t xml:space="preserve">
22B58XA00000XXX02</t>
    </r>
  </si>
  <si>
    <r>
      <rPr>
        <rFont val="Arial"/>
        <strike/>
        <color theme="1"/>
        <sz val="11.0"/>
      </rPr>
      <t>22B58XA00000BQX03</t>
    </r>
    <r>
      <rPr>
        <rFont val="Arial"/>
        <color theme="1"/>
        <sz val="11.0"/>
      </rPr>
      <t xml:space="preserve">
22B58XA00000XXX03</t>
    </r>
  </si>
  <si>
    <r>
      <rPr>
        <rFont val="Arial"/>
        <strike/>
        <color theme="1"/>
        <sz val="11.0"/>
      </rPr>
      <t>22B58RD00000BQX01</t>
    </r>
    <r>
      <rPr>
        <rFont val="Arial"/>
        <color theme="1"/>
        <sz val="11.0"/>
      </rPr>
      <t xml:space="preserve">
22B58RD00000XXX01</t>
    </r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</si>
  <si>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</si>
  <si>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</si>
  <si>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</si>
  <si>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</si>
  <si>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t>22B58TN00040CVX06</t>
  </si>
  <si>
    <t>PEKERJAAN PROTEKSI PETIR ASRAMA GURU PUTRI ( 2 Gedung)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</si>
  <si>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</si>
  <si>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</si>
  <si>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r>
      <rPr>
        <rFont val="Arial"/>
        <strike/>
        <color theme="1"/>
        <sz val="11.0"/>
      </rPr>
      <t>22B58XA00000BQX02</t>
    </r>
    <r>
      <rPr>
        <rFont val="Arial"/>
        <color theme="1"/>
        <sz val="11.0"/>
      </rPr>
      <t xml:space="preserve">
22B58XA00000XXX02</t>
    </r>
  </si>
  <si>
    <r>
      <rPr>
        <rFont val="Arial"/>
        <strike/>
        <color theme="1"/>
        <sz val="11.0"/>
      </rPr>
      <t>22B58RD00000BQX01</t>
    </r>
    <r>
      <rPr>
        <rFont val="Arial"/>
        <color theme="1"/>
        <sz val="11.0"/>
      </rPr>
      <t xml:space="preserve">
22B58RD00000XXX01</t>
    </r>
  </si>
  <si>
    <t>22B58TN00040CVX07</t>
  </si>
  <si>
    <t>PEKERJAAN PROTEKSI PETIR KANTIN SD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</si>
  <si>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</si>
  <si>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t>24/04/2026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</si>
  <si>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</si>
  <si>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r>
      <rPr>
        <rFont val="Arial"/>
        <strike/>
        <color theme="1"/>
        <sz val="11.0"/>
      </rPr>
      <t>22B58XA00000BQX02</t>
    </r>
    <r>
      <rPr>
        <rFont val="Arial"/>
        <color theme="1"/>
        <sz val="11.0"/>
      </rPr>
      <t xml:space="preserve">
22B58XA00000XXX02</t>
    </r>
  </si>
  <si>
    <t>Saklar ganda</t>
  </si>
  <si>
    <r>
      <rPr>
        <rFont val="Arial"/>
        <strike/>
        <color theme="1"/>
        <sz val="11.0"/>
      </rPr>
      <t>22B58RD00000BQX01</t>
    </r>
    <r>
      <rPr>
        <rFont val="Arial"/>
        <color theme="1"/>
        <sz val="11.0"/>
      </rPr>
      <t xml:space="preserve">
22B58RD00000XXX01</t>
    </r>
  </si>
  <si>
    <t xml:space="preserve">STOK </t>
  </si>
  <si>
    <t>PEKERJAAN PROTEKSI PETIR AIR TERMINAL (STRIKE TERMINATION DEVICES)</t>
  </si>
  <si>
    <t>22B58TN00040CVX08</t>
  </si>
  <si>
    <t>PEKERJAAN PROTEKSI PETIR KANTIN SMP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</si>
  <si>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</si>
  <si>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t>22B85QY20005XXX21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</si>
  <si>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</si>
  <si>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r>
      <rPr>
        <rFont val="Arial"/>
        <strike/>
        <color theme="1"/>
        <sz val="11.0"/>
      </rPr>
      <t>22B58XA00000BQX02</t>
    </r>
    <r>
      <rPr>
        <rFont val="Arial"/>
        <color theme="1"/>
        <sz val="11.0"/>
      </rPr>
      <t xml:space="preserve">
22B58XA00000XXX02</t>
    </r>
  </si>
  <si>
    <r>
      <rPr>
        <rFont val="Arial"/>
        <strike/>
        <color theme="1"/>
        <sz val="11.0"/>
      </rPr>
      <t>22B58RD00000BQX01</t>
    </r>
    <r>
      <rPr>
        <rFont val="Arial"/>
        <color theme="1"/>
        <sz val="11.0"/>
      </rPr>
      <t xml:space="preserve">
22B58RD00000XXX01</t>
    </r>
  </si>
  <si>
    <t>22B58TN00040CVX09</t>
  </si>
  <si>
    <t>PEKERJAAN PROTEKSI PETIR KANTIN SMA</t>
  </si>
  <si>
    <r>
      <rPr>
        <rFont val="Arial"/>
        <strike/>
        <color theme="1"/>
        <sz val="11.0"/>
      </rPr>
      <t>22B58OA10006GRA10</t>
    </r>
    <r>
      <rPr>
        <rFont val="Arial"/>
        <color theme="1"/>
        <sz val="11.0"/>
      </rPr>
      <t xml:space="preserve">
  22B58OA10006XXX10</t>
    </r>
  </si>
  <si>
    <r>
      <rPr>
        <rFont val="Arial"/>
        <strike/>
        <color theme="1"/>
        <sz val="11.0"/>
      </rPr>
      <t>22B58OA10006GRA10</t>
    </r>
    <r>
      <rPr>
        <rFont val="Arial"/>
        <color theme="1"/>
        <sz val="11.0"/>
      </rPr>
      <t xml:space="preserve">
  22B58OA10006XXX10</t>
    </r>
  </si>
  <si>
    <t>Lighting -1</t>
  </si>
  <si>
    <r>
      <rPr>
        <rFont val="Arial"/>
        <strike/>
        <color theme="1"/>
        <sz val="11.0"/>
      </rPr>
      <t>LP Downlight Inbow 6W 6500K</t>
    </r>
    <r>
      <rPr>
        <rFont val="Arial"/>
        <color theme="1"/>
        <sz val="11.0"/>
      </rPr>
      <t xml:space="preserve">
 LP Downlight Inbow RD 100 E27 SAVY LEDBULB 6W 6500K</t>
    </r>
  </si>
  <si>
    <r>
      <rPr>
        <rFont val="Arial"/>
        <strike/>
        <color theme="1"/>
        <sz val="11.0"/>
      </rPr>
      <t xml:space="preserve">22B58OA10010GRA10
</t>
    </r>
    <r>
      <rPr>
        <rFont val="Arial"/>
        <color theme="1"/>
        <sz val="11.0"/>
      </rPr>
      <t>22B58OA10010XXX10</t>
    </r>
  </si>
  <si>
    <t>Lighting -2</t>
  </si>
  <si>
    <r>
      <rPr>
        <rFont val="Arial"/>
        <strike/>
        <color theme="1"/>
        <sz val="11.0"/>
      </rPr>
      <t>LP Downlight Outbow 10W 6500K</t>
    </r>
    <r>
      <rPr>
        <rFont val="Arial"/>
        <color theme="1"/>
        <sz val="11.0"/>
      </rPr>
      <t xml:space="preserve">
LP Downlight Inbow RD 100 E27 SAVY LEDBULB 10W 6500K</t>
    </r>
  </si>
  <si>
    <r>
      <rPr>
        <rFont val="&quot;Times New Roman&quot;, serif"/>
        <strike/>
        <color rgb="FF000000"/>
        <sz val="11.0"/>
      </rPr>
      <t xml:space="preserve">22B58OA10012GRA10
</t>
    </r>
    <r>
      <rPr>
        <rFont val="&quot;Times New Roman&quot;, serif"/>
        <color rgb="FF000000"/>
        <sz val="11.0"/>
      </rPr>
      <t xml:space="preserve">  22B58OA10120XXX10</t>
    </r>
  </si>
  <si>
    <t>Lighting -3</t>
  </si>
  <si>
    <r>
      <rPr>
        <rFont val="Arial"/>
        <strike/>
        <color theme="1"/>
        <sz val="11.0"/>
      </rPr>
      <t>LP Downlight Inbow 12W 6500K</t>
    </r>
    <r>
      <rPr>
        <rFont val="Arial"/>
        <color theme="1"/>
        <sz val="11.0"/>
      </rPr>
      <t xml:space="preserve">
 LP Downlight Inbow RD 125 E27 SAVY LEDBULB 12W 6500K</t>
    </r>
  </si>
  <si>
    <r>
      <rPr>
        <rFont val="Arial"/>
        <strike/>
        <color theme="1"/>
        <sz val="11.0"/>
      </rPr>
      <t>22B58OA10015GRA10</t>
    </r>
    <r>
      <rPr>
        <rFont val="Arial"/>
        <color theme="1"/>
        <sz val="11.0"/>
      </rPr>
      <t xml:space="preserve">
22B58OA10015XXX00</t>
    </r>
  </si>
  <si>
    <t>Lighting -4</t>
  </si>
  <si>
    <r>
      <rPr>
        <rFont val="Arial"/>
        <strike/>
        <color theme="1"/>
        <sz val="11.0"/>
      </rPr>
      <t xml:space="preserve">LP Downlight Outbow 14,5W 6500K 
</t>
    </r>
    <r>
      <rPr>
        <rFont val="Arial"/>
        <color theme="1"/>
        <sz val="11.0"/>
      </rPr>
      <t xml:space="preserve"> LP Downlight Outbow RD 150 E27 SAVY LEDBULB 14,5W 6500K</t>
    </r>
  </si>
  <si>
    <r>
      <rPr>
        <rFont val="Arial"/>
        <strike/>
        <color theme="1"/>
        <sz val="11.0"/>
      </rPr>
      <t xml:space="preserve"> 22B58OA10015XXX10</t>
    </r>
    <r>
      <rPr>
        <rFont val="Arial"/>
        <color theme="1"/>
        <sz val="11.0"/>
      </rPr>
      <t xml:space="preserve">
22B58OA20015XXX00</t>
    </r>
  </si>
  <si>
    <t>Lighting -5</t>
  </si>
  <si>
    <r>
      <rPr>
        <rFont val="Arial"/>
        <strike/>
        <color theme="1"/>
        <sz val="11.0"/>
      </rPr>
      <t xml:space="preserve">LP Downlight Inbow 14,5W 6500K
</t>
    </r>
    <r>
      <rPr>
        <rFont val="Arial"/>
        <color theme="1"/>
        <sz val="11.0"/>
      </rPr>
      <t xml:space="preserve"> LP Downlight Outbow SM D 150 E27 2 LEDBULB 14.5W</t>
    </r>
  </si>
  <si>
    <r>
      <rPr>
        <rFont val="Arial"/>
        <strike/>
        <color theme="1"/>
        <sz val="11.0"/>
      </rPr>
      <t xml:space="preserve">22B58OA10027GRA10
</t>
    </r>
    <r>
      <rPr>
        <rFont val="Arial"/>
        <color theme="1"/>
        <sz val="11.0"/>
      </rPr>
      <t>22B58OA10027XXX10</t>
    </r>
  </si>
  <si>
    <t>Lighting -6</t>
  </si>
  <si>
    <t>LP Downlight Inbow Comfort 150-10 LED 37w 940 60D + Driver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</si>
  <si>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</si>
  <si>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</si>
  <si>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t>HOLD</t>
  </si>
  <si>
    <r>
      <rPr>
        <rFont val="Arial"/>
        <strike/>
        <color theme="1"/>
        <sz val="11.0"/>
      </rPr>
      <t>22B58XA00000BQX01</t>
    </r>
    <r>
      <rPr>
        <rFont val="Arial"/>
        <color theme="1"/>
        <sz val="11.0"/>
      </rPr>
      <t xml:space="preserve">
22B58XA00000XXX01</t>
    </r>
  </si>
  <si>
    <r>
      <rPr>
        <rFont val="Arial"/>
        <strike/>
        <color theme="1"/>
        <sz val="11.0"/>
      </rPr>
      <t>22B58XA00000BQX02</t>
    </r>
    <r>
      <rPr>
        <rFont val="Arial"/>
        <color theme="1"/>
        <sz val="11.0"/>
      </rPr>
      <t xml:space="preserve">
22B58XA00000XXX02</t>
    </r>
  </si>
  <si>
    <t>Sensor Detector</t>
  </si>
  <si>
    <r>
      <rPr>
        <rFont val="Arial"/>
        <strike/>
        <color theme="1"/>
        <sz val="11.0"/>
      </rPr>
      <t>22B58RD00000BQX01</t>
    </r>
    <r>
      <rPr>
        <rFont val="Arial"/>
        <color theme="1"/>
        <sz val="11.0"/>
      </rPr>
      <t xml:space="preserve">
22B58RD00000XXX01</t>
    </r>
  </si>
  <si>
    <t>22B58TN00040CVX10</t>
  </si>
  <si>
    <t>PEKERJAAN PROTEKSI PETIR GEDUNG SERBA GUNA</t>
  </si>
  <si>
    <r>
      <rPr>
        <rFont val="Arial"/>
        <strike/>
        <color theme="1"/>
        <sz val="11.0"/>
      </rPr>
      <t>22B58OA10006GRA10</t>
    </r>
    <r>
      <rPr>
        <rFont val="Arial"/>
        <color theme="1"/>
        <sz val="11.0"/>
      </rPr>
      <t xml:space="preserve">
  22B58OA10006XXX10</t>
    </r>
  </si>
  <si>
    <r>
      <rPr>
        <rFont val="&quot;Times New Roman&quot;, serif"/>
        <strike/>
        <color rgb="FF000000"/>
        <sz val="11.0"/>
      </rPr>
      <t xml:space="preserve">22B58OA10012GRA10
</t>
    </r>
    <r>
      <rPr>
        <rFont val="&quot;Times New Roman&quot;, serif"/>
        <color rgb="FF000000"/>
        <sz val="11.0"/>
      </rPr>
      <t xml:space="preserve">  22B58OA10120XXX10</t>
    </r>
  </si>
  <si>
    <r>
      <rPr>
        <rFont val="Arial"/>
        <strike/>
        <color theme="1"/>
        <sz val="11.0"/>
      </rPr>
      <t>22B58OA10015GRA10</t>
    </r>
    <r>
      <rPr>
        <rFont val="Arial"/>
        <color theme="1"/>
        <sz val="11.0"/>
      </rPr>
      <t xml:space="preserve">
22B58OA10015XXX10</t>
    </r>
  </si>
  <si>
    <t>LP Downlight Inbow RD 150 E27 SAVY LEDBULB 14,5W 6500K</t>
  </si>
  <si>
    <r>
      <rPr>
        <rFont val="Arial"/>
        <strike/>
        <color theme="1"/>
        <sz val="11.0"/>
      </rPr>
      <t xml:space="preserve">22B58OA02036GRB11
</t>
    </r>
    <r>
      <rPr>
        <rFont val="Arial"/>
        <color theme="1"/>
        <sz val="11.0"/>
      </rPr>
      <t>22B58OA02036XXX11</t>
    </r>
  </si>
  <si>
    <t>Lampu TL LED Inbow RMO 2 X 36w SAVY TLED Tube Corepo 2x15W 6500K</t>
  </si>
  <si>
    <r>
      <rPr>
        <rFont val="Arial"/>
        <strike/>
        <color theme="1"/>
        <sz val="11.0"/>
      </rPr>
      <t>22B58OA02036GRB12</t>
    </r>
    <r>
      <rPr>
        <rFont val="Arial"/>
        <color theme="1"/>
        <sz val="11.0"/>
      </rPr>
      <t xml:space="preserve">
22B58OA03615XXX01</t>
    </r>
  </si>
  <si>
    <t>LP LED TL Outbow Weatherprof BLV 1X36W T-LED tube Corepro 1x15W 6500K</t>
  </si>
  <si>
    <r>
      <rPr>
        <rFont val="Arial"/>
        <strike/>
        <color theme="1"/>
        <sz val="11.0"/>
      </rPr>
      <t xml:space="preserve">22B58OA02036GRB11
</t>
    </r>
    <r>
      <rPr>
        <rFont val="Arial"/>
        <color theme="1"/>
        <sz val="11.0"/>
      </rPr>
      <t>22B58OA02036XXX11</t>
    </r>
  </si>
  <si>
    <t>LP LED TL Outbow Weatherprof BLV 2X36W T-LED tube Corepro 2x15W 6500K</t>
  </si>
  <si>
    <r>
      <rPr>
        <rFont val="&quot;Times New Roman&quot;, serif"/>
        <strike/>
        <color rgb="FF000000"/>
        <sz val="11.0"/>
      </rPr>
      <t xml:space="preserve">22B58OA21012GRA00
</t>
    </r>
    <r>
      <rPr>
        <rFont val="&quot;Times New Roman&quot;, serif"/>
        <color rgb="FF000000"/>
        <sz val="11.0"/>
      </rPr>
      <t xml:space="preserve"> 22B58OA00100BSX00</t>
    </r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</si>
  <si>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</si>
  <si>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</si>
  <si>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r>
      <rPr>
        <rFont val="Arial"/>
        <strike/>
        <color theme="1"/>
        <sz val="11.0"/>
      </rPr>
      <t>22B58XA00000BQX01</t>
    </r>
    <r>
      <rPr>
        <rFont val="Arial"/>
        <color theme="1"/>
        <sz val="11.0"/>
      </rPr>
      <t xml:space="preserve">
22B58XA00000XXX01</t>
    </r>
  </si>
  <si>
    <r>
      <rPr>
        <rFont val="Arial"/>
        <strike/>
        <color theme="1"/>
        <sz val="11.0"/>
      </rPr>
      <t>22B58XA00000BQX02</t>
    </r>
    <r>
      <rPr>
        <rFont val="Arial"/>
        <color theme="1"/>
        <sz val="11.0"/>
      </rPr>
      <t xml:space="preserve">
22B58XA00000XXX02</t>
    </r>
  </si>
  <si>
    <r>
      <rPr>
        <rFont val="Arial"/>
        <strike/>
        <color theme="1"/>
        <sz val="11.0"/>
      </rPr>
      <t>22B58RD00000BQX01</t>
    </r>
    <r>
      <rPr>
        <rFont val="Arial"/>
        <color theme="1"/>
        <sz val="11.0"/>
      </rPr>
      <t xml:space="preserve">
22B58RD00000XXX01</t>
    </r>
  </si>
  <si>
    <t>22B58TN00040CVX13</t>
  </si>
  <si>
    <t>PEKERJAAN PRTEKSI PETIR DAPUR &amp; GUDANG</t>
  </si>
  <si>
    <r>
      <rPr>
        <rFont val="Arial"/>
        <strike/>
        <color theme="1"/>
        <sz val="11.0"/>
      </rPr>
      <t>22B58OA10006GRA10</t>
    </r>
    <r>
      <rPr>
        <rFont val="Arial"/>
        <color theme="1"/>
        <sz val="11.0"/>
      </rPr>
      <t xml:space="preserve">
22B58OA10006XXX00</t>
    </r>
  </si>
  <si>
    <t>LP Downlight Outbow RD 100 E27 SAVY LEDBULB 6W 6500K</t>
  </si>
  <si>
    <r>
      <rPr>
        <rFont val="Arial"/>
        <strike/>
        <color theme="1"/>
        <sz val="11.0"/>
      </rPr>
      <t xml:space="preserve">22B58OA10010GRA10
</t>
    </r>
    <r>
      <rPr>
        <rFont val="Arial"/>
        <color theme="1"/>
        <sz val="11.0"/>
      </rPr>
      <t>22B58OA10010XXX10</t>
    </r>
  </si>
  <si>
    <t>LP Downlight Outbow RD 100 E27 SAVY LEDBULB 10W 6500K</t>
  </si>
  <si>
    <r>
      <rPr>
        <rFont val="&quot;Times New Roman&quot;, serif"/>
        <strike/>
        <color rgb="FF000000"/>
        <sz val="11.0"/>
      </rPr>
      <t>22B58OA10012XXX00</t>
    </r>
    <r>
      <rPr>
        <rFont val="&quot;Times New Roman&quot;, serif"/>
        <color rgb="FF000000"/>
        <sz val="11.0"/>
      </rPr>
      <t xml:space="preserve">
 22B58OA10012XXA02</t>
    </r>
  </si>
  <si>
    <t>LP Downlight Outbow RD 125 E27 SAVY LEDBULB 12W 6500K</t>
  </si>
  <si>
    <r>
      <rPr>
        <rFont val="&quot;Times New Roman&quot;, serif"/>
        <strike/>
        <color rgb="FF000000"/>
        <sz val="11.0"/>
      </rPr>
      <t>22B58OA10012XXX00</t>
    </r>
    <r>
      <rPr>
        <rFont val="&quot;Times New Roman&quot;, serif"/>
        <color rgb="FF000000"/>
        <sz val="11.0"/>
      </rPr>
      <t xml:space="preserve">
 22B58OA10012XXA02</t>
    </r>
  </si>
  <si>
    <r>
      <rPr>
        <rFont val="&quot;Times New Roman&quot;, serif"/>
        <strike/>
        <color rgb="FF000000"/>
        <sz val="11.0"/>
      </rPr>
      <t>22B58OA10012XXX00</t>
    </r>
    <r>
      <rPr>
        <rFont val="&quot;Times New Roman&quot;, serif"/>
        <color rgb="FF000000"/>
        <sz val="11.0"/>
      </rPr>
      <t xml:space="preserve">
 22B58OA10012XXA02</t>
    </r>
  </si>
  <si>
    <r>
      <rPr>
        <rFont val="&quot;Times New Roman&quot;, serif"/>
        <strike/>
        <color rgb="FF000000"/>
        <sz val="11.0"/>
      </rPr>
      <t>22B58OA10012XXX00</t>
    </r>
    <r>
      <rPr>
        <rFont val="&quot;Times New Roman&quot;, serif"/>
        <color rgb="FF000000"/>
        <sz val="11.0"/>
      </rPr>
      <t xml:space="preserve">
 22B58OA10012XXA02</t>
    </r>
  </si>
  <si>
    <r>
      <rPr>
        <rFont val="Arial"/>
        <strike/>
        <color theme="1"/>
        <sz val="11.0"/>
      </rPr>
      <t xml:space="preserve"> 22B58OA10015XXX10</t>
    </r>
    <r>
      <rPr>
        <rFont val="Arial"/>
        <color theme="1"/>
        <sz val="11.0"/>
      </rPr>
      <t xml:space="preserve">
22B58OA20015XXX00</t>
    </r>
  </si>
  <si>
    <t>LP Downlight Outbow SM D 150 E27 2 LEDBULB 14.5W</t>
  </si>
  <si>
    <r>
      <rPr>
        <rFont val="Arial"/>
        <strike/>
        <color theme="1"/>
        <sz val="11.0"/>
      </rPr>
      <t xml:space="preserve">22B58OA20010GRA00
</t>
    </r>
    <r>
      <rPr>
        <rFont val="Arial"/>
        <color theme="1"/>
        <sz val="11.0"/>
      </rPr>
      <t>22B58OA20010XXX00</t>
    </r>
  </si>
  <si>
    <t>Lampu Dinding Decoratif WL OCUS SQ E27 10 W 6500K</t>
  </si>
  <si>
    <r>
      <rPr>
        <rFont val="Arial"/>
        <strike/>
        <color theme="1"/>
        <sz val="11.0"/>
      </rPr>
      <t xml:space="preserve">22B58OA21012GRA00
</t>
    </r>
    <r>
      <rPr>
        <rFont val="Arial"/>
        <color theme="1"/>
        <sz val="11.0"/>
      </rPr>
      <t>22B58OA21012XXX00</t>
    </r>
  </si>
  <si>
    <t>Lampu Dinding Decoratif WL Daiko ACR E27 12 W 6500K</t>
  </si>
  <si>
    <t>Instalasi Penerangan Lantai 1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</si>
  <si>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</si>
  <si>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t>Instalasi Stop Kontak Lantai 1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</si>
  <si>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</si>
  <si>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r>
      <rPr>
        <rFont val="Arial"/>
        <strike/>
        <color theme="1"/>
        <sz val="11.0"/>
      </rPr>
      <t>22B58XA00000BQX01</t>
    </r>
    <r>
      <rPr>
        <rFont val="Arial"/>
        <color theme="1"/>
        <sz val="11.0"/>
      </rPr>
      <t xml:space="preserve">
22B58XA00000XXX01</t>
    </r>
  </si>
  <si>
    <t>Instalasi Saklar Tunggal</t>
  </si>
  <si>
    <r>
      <rPr>
        <rFont val="Arial"/>
        <strike/>
        <color theme="1"/>
        <sz val="11.0"/>
      </rPr>
      <t>22B58XA00000BQX02</t>
    </r>
    <r>
      <rPr>
        <rFont val="Arial"/>
        <color theme="1"/>
        <sz val="11.0"/>
      </rPr>
      <t xml:space="preserve">
22B58XA00000XXX02</t>
    </r>
  </si>
  <si>
    <r>
      <rPr>
        <rFont val="Arial"/>
        <strike/>
        <color theme="1"/>
        <sz val="11.0"/>
      </rPr>
      <t>22B58XA00000BQX03</t>
    </r>
    <r>
      <rPr>
        <rFont val="Arial"/>
        <color theme="1"/>
        <sz val="11.0"/>
      </rPr>
      <t xml:space="preserve">
22B58XA00000XXX03</t>
    </r>
  </si>
  <si>
    <r>
      <rPr>
        <rFont val="Arial"/>
        <strike/>
        <color theme="1"/>
        <sz val="11.0"/>
      </rPr>
      <t>22B58RD00000BQX01</t>
    </r>
    <r>
      <rPr>
        <rFont val="Arial"/>
        <color theme="1"/>
        <sz val="11.0"/>
      </rPr>
      <t xml:space="preserve">
22B58RD00000XXX01</t>
    </r>
  </si>
  <si>
    <r>
      <rPr>
        <rFont val="Arial"/>
        <strike/>
        <color theme="1"/>
        <sz val="11.0"/>
      </rPr>
      <t>22B58OA10006GRA10</t>
    </r>
    <r>
      <rPr>
        <rFont val="Arial"/>
        <color theme="1"/>
        <sz val="11.0"/>
      </rPr>
      <t xml:space="preserve">
  22B58OA10006XXX10</t>
    </r>
  </si>
  <si>
    <r>
      <rPr>
        <rFont val="Arial"/>
        <strike/>
        <color theme="1"/>
        <sz val="11.0"/>
      </rPr>
      <t xml:space="preserve">22B58OA10010GRA10
</t>
    </r>
    <r>
      <rPr>
        <rFont val="Arial"/>
        <color theme="1"/>
        <sz val="11.0"/>
      </rPr>
      <t>22B58OA10010XXX10</t>
    </r>
  </si>
  <si>
    <r>
      <rPr>
        <rFont val="&quot;Times New Roman&quot;, serif"/>
        <strike/>
        <color rgb="FF000000"/>
        <sz val="11.0"/>
      </rPr>
      <t xml:space="preserve">22B58OA10012GRA10
</t>
    </r>
    <r>
      <rPr>
        <rFont val="&quot;Times New Roman&quot;, serif"/>
        <color rgb="FF000000"/>
        <sz val="11.0"/>
      </rPr>
      <t xml:space="preserve">  22B58OA10120XXX10</t>
    </r>
  </si>
  <si>
    <r>
      <rPr>
        <rFont val="Arial"/>
        <strike/>
        <color theme="1"/>
        <sz val="11.0"/>
      </rPr>
      <t>22B58OA01036GRB10</t>
    </r>
    <r>
      <rPr>
        <rFont val="Arial"/>
        <color theme="1"/>
        <sz val="11.0"/>
      </rPr>
      <t xml:space="preserve">
22B58OA01036XXX10</t>
    </r>
  </si>
  <si>
    <r>
      <rPr>
        <rFont val="Arial"/>
        <strike/>
        <color theme="1"/>
        <sz val="11.0"/>
      </rPr>
      <t>22B58OA01036GRB11</t>
    </r>
    <r>
      <rPr>
        <rFont val="Arial"/>
        <color theme="1"/>
        <sz val="11.0"/>
      </rPr>
      <t xml:space="preserve">
22B58OA01015XXB11</t>
    </r>
  </si>
  <si>
    <t>Instalasi Penerangan Lantai 2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</si>
  <si>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</si>
  <si>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t>Instalasi Stop Kontak Lantai 2</t>
  </si>
  <si>
    <r>
      <rPr>
        <rFont val="Arial"/>
        <strike/>
        <color theme="1"/>
        <sz val="11.0"/>
      </rPr>
      <t>22A02GF03025AYX01</t>
    </r>
    <r>
      <rPr>
        <rFont val="Arial"/>
        <color theme="1"/>
        <sz val="11.0"/>
      </rPr>
      <t xml:space="preserve">
 22A02GF03025XXX01</t>
    </r>
  </si>
  <si>
    <r>
      <rPr>
        <rFont val="Arial"/>
        <strike/>
        <color theme="1"/>
        <sz val="11.0"/>
      </rPr>
      <t>22B58XA00000BQX01</t>
    </r>
    <r>
      <rPr>
        <rFont val="Arial"/>
        <color theme="1"/>
        <sz val="11.0"/>
      </rPr>
      <t xml:space="preserve">
22B58XA00000XXX01</t>
    </r>
  </si>
  <si>
    <r>
      <rPr>
        <rFont val="Arial"/>
        <strike/>
        <color theme="1"/>
        <sz val="11.0"/>
      </rPr>
      <t>22B58XA00000BQX02</t>
    </r>
    <r>
      <rPr>
        <rFont val="Arial"/>
        <color theme="1"/>
        <sz val="11.0"/>
      </rPr>
      <t xml:space="preserve">
22B58XA00000XXX02</t>
    </r>
  </si>
  <si>
    <r>
      <rPr>
        <rFont val="Arial"/>
        <strike/>
        <color theme="1"/>
        <sz val="11.0"/>
      </rPr>
      <t>22B58XA00000BQX03</t>
    </r>
    <r>
      <rPr>
        <rFont val="Arial"/>
        <color theme="1"/>
        <sz val="11.0"/>
      </rPr>
      <t xml:space="preserve">
22B58XA00000XXX03</t>
    </r>
  </si>
  <si>
    <r>
      <rPr>
        <rFont val="Arial"/>
        <strike/>
        <color theme="1"/>
        <sz val="11.0"/>
      </rPr>
      <t>22B58RD00000BQX01</t>
    </r>
    <r>
      <rPr>
        <rFont val="Arial"/>
        <color theme="1"/>
        <sz val="11.0"/>
      </rPr>
      <t xml:space="preserve">
22B58RD00000XXX01</t>
    </r>
  </si>
  <si>
    <t>22B58TN00040CVX14</t>
  </si>
  <si>
    <t>PEKERJAAN PRTEKSI PETIR GEDUNG GUEST HOUSE</t>
  </si>
  <si>
    <t>22B50EN22050XXX00</t>
  </si>
  <si>
    <t>Tee Kabel Tray uk.200 x 50 mm</t>
  </si>
  <si>
    <t>18/06/206</t>
  </si>
  <si>
    <t>22B48EB10001XXX00</t>
  </si>
  <si>
    <t>Siku Kabel Tray uk.200 x 50 mm</t>
  </si>
  <si>
    <t>22B81XX00031XXX00</t>
  </si>
  <si>
    <t>Genset</t>
  </si>
  <si>
    <t>Pekerjaan Instalasi Genset 300Kva Silent Type</t>
  </si>
  <si>
    <t>Tangki Mingguan genset 1000L Lengkap dengan support, Alat bantu dan assesoris</t>
  </si>
  <si>
    <t>Knalpot silincer Dia=6" + Jaketting (Ex Lokal) Lengkap support dan assesoris</t>
  </si>
  <si>
    <t>Pipa BSP 40 Dia. 1 1/2" (40mm)</t>
  </si>
  <si>
    <t>Pipa BSP 40 Dia. 1" (25mm)</t>
  </si>
  <si>
    <t>Gate vale dia. 40mm</t>
  </si>
  <si>
    <t>bh</t>
  </si>
  <si>
    <t>Gate vale dia. 25mm</t>
  </si>
  <si>
    <t>Pipa Black steell strainer 10 K, Dia 25mm</t>
  </si>
  <si>
    <t>Check Valve</t>
  </si>
  <si>
    <r>
      <rPr>
        <rFont val="Arial"/>
        <strike/>
        <color theme="1"/>
        <sz val="11.0"/>
      </rPr>
      <t>22B58OA10006GRA10</t>
    </r>
    <r>
      <rPr>
        <rFont val="Arial"/>
        <color theme="1"/>
        <sz val="11.0"/>
      </rPr>
      <t xml:space="preserve">
  22B58OA10006XXX10</t>
    </r>
  </si>
  <si>
    <t>LP Downlight Outbow Inbow RD 100 E27 SAVY LEDBULB 6W 6500K</t>
  </si>
  <si>
    <r>
      <rPr>
        <rFont val="Arial"/>
        <strike/>
        <color theme="1"/>
        <sz val="11.0"/>
      </rPr>
      <t>22B58OA10006GRA10</t>
    </r>
    <r>
      <rPr>
        <rFont val="Arial"/>
        <color theme="1"/>
        <sz val="11.0"/>
      </rPr>
      <t xml:space="preserve">
  22B58OA10006XXX10</t>
    </r>
  </si>
  <si>
    <r>
      <rPr>
        <rFont val="&quot;\0022Times New Roman\0022\, serif&quot;"/>
        <strike/>
        <color rgb="FF000000"/>
        <sz val="11.0"/>
      </rPr>
      <t>LP Downlight Outbow 6W 6500K</t>
    </r>
    <r>
      <rPr>
        <rFont val="&quot;\0022Times New Roman\0022\, serif&quot;"/>
        <color rgb="FF000000"/>
        <sz val="11.0"/>
      </rPr>
      <t xml:space="preserve">
 LP Downlight Inbow RD 100 E27 SAVY LEDBULB 6W 6500K</t>
    </r>
  </si>
  <si>
    <r>
      <rPr>
        <rFont val="Arial"/>
        <strike/>
        <color theme="1"/>
        <sz val="11.0"/>
      </rPr>
      <t>22B58OA10006GRA10</t>
    </r>
    <r>
      <rPr>
        <rFont val="Arial"/>
        <color theme="1"/>
        <sz val="11.0"/>
      </rPr>
      <t xml:space="preserve">
  22B58OA10006XXX10</t>
    </r>
  </si>
  <si>
    <r>
      <rPr>
        <rFont val="Arial"/>
        <strike/>
        <color theme="1"/>
        <sz val="11.0"/>
      </rPr>
      <t>22B58OA10006GRA10</t>
    </r>
    <r>
      <rPr>
        <rFont val="Arial"/>
        <color theme="1"/>
        <sz val="11.0"/>
      </rPr>
      <t xml:space="preserve">
  22B58OA10006XXX10</t>
    </r>
  </si>
  <si>
    <r>
      <rPr>
        <rFont val="&quot;\0022Times New Roman\0022\, serif&quot;"/>
        <strike/>
        <color rgb="FF000000"/>
        <sz val="11.0"/>
      </rPr>
      <t>LP Downlight Outbow 6W 6500K</t>
    </r>
    <r>
      <rPr>
        <rFont val="&quot;\0022Times New Roman\0022\, serif&quot;"/>
        <color rgb="FF000000"/>
        <sz val="11.0"/>
      </rPr>
      <t xml:space="preserve">
 LP Downlight Inbow RD 100 E27 SAVY LEDBULB 6W 6500K</t>
    </r>
  </si>
  <si>
    <r>
      <rPr>
        <rFont val="Arial"/>
        <strike/>
        <color theme="1"/>
        <sz val="11.0"/>
      </rPr>
      <t>22B58OA10006GRA10</t>
    </r>
    <r>
      <rPr>
        <rFont val="Arial"/>
        <color theme="1"/>
        <sz val="11.0"/>
      </rPr>
      <t xml:space="preserve">
  22B58OA10006XXX10</t>
    </r>
  </si>
  <si>
    <t>22B58RW00016XXX21</t>
  </si>
  <si>
    <t>RCBO 16A, 2P, 220VAC
    Merek : Eaton, LS, Schneider, ABB, CHINT, Fuji Electric, Terasaki, Legrand</t>
  </si>
  <si>
    <t>KWH Meter, 900 Watt 4A
 Merek : Elecnova, Crompton, Secure,GAE,Rivalco, Rish, Mikro,TDE</t>
  </si>
  <si>
    <t>02/06/0206</t>
  </si>
  <si>
    <r>
      <rPr>
        <rFont val="Arial"/>
        <strike/>
        <color theme="1"/>
        <sz val="11.0"/>
      </rPr>
      <t>22B58OA01036GRB00</t>
    </r>
    <r>
      <rPr>
        <rFont val="Arial"/>
        <color theme="1"/>
        <sz val="11.0"/>
      </rPr>
      <t xml:space="preserve">
22B58OA01015XXB00</t>
    </r>
  </si>
  <si>
    <r>
      <rPr>
        <rFont val="Arial"/>
        <color theme="1"/>
        <sz val="11.0"/>
      </rPr>
      <t xml:space="preserve">Lampu TL LED Outbow </t>
    </r>
    <r>
      <rPr>
        <rFont val="Arial"/>
        <strike/>
        <color theme="1"/>
        <sz val="11.0"/>
      </rPr>
      <t>GMS CG ACR 1 x 36w</t>
    </r>
    <r>
      <rPr>
        <rFont val="Arial"/>
        <color theme="1"/>
        <sz val="11.0"/>
      </rPr>
      <t xml:space="preserve"> T-LED tube Corepro 1x15W 6500K</t>
    </r>
  </si>
  <si>
    <r>
      <rPr>
        <rFont val="Arial"/>
        <strike/>
        <color theme="1"/>
        <sz val="11.0"/>
      </rPr>
      <t>22B58OA01036GRB01</t>
    </r>
    <r>
      <rPr>
        <rFont val="Arial"/>
        <color theme="1"/>
        <sz val="11.0"/>
      </rPr>
      <t xml:space="preserve">
22B58OA01036XXX01</t>
    </r>
  </si>
  <si>
    <t>Kawasan</t>
  </si>
  <si>
    <t>Grounding Power House</t>
  </si>
  <si>
    <t>Pengadaan, pemasangan dan pengujian Grounding (Testing Comissioning) lengkap dengan aksesoris sesuai RKS, gambar dan spesifikasi.</t>
  </si>
  <si>
    <t>Grounding for Genset dan Power House</t>
  </si>
  <si>
    <t>Biaya pengeboran (drilling trip)</t>
  </si>
  <si>
    <t>22A15DA00100XXX01</t>
  </si>
  <si>
    <t>Copper Rod Ø 1" - 1500 mm</t>
  </si>
  <si>
    <t>22A16NA00112XXB00</t>
  </si>
  <si>
    <t>Pipa GIP medium class Ø 1½</t>
  </si>
  <si>
    <t>22A02GO00095AYX00</t>
  </si>
  <si>
    <t>Kabel BC 95 mm² c/w SCUN Body Trafo</t>
  </si>
  <si>
    <t>Kabel , BC 95 mmSQ</t>
  </si>
  <si>
    <t>18/04/2026</t>
  </si>
  <si>
    <t>23/04/2026</t>
  </si>
  <si>
    <r>
      <rPr>
        <rFont val="&quot;Times New Roman&quot;, serif"/>
        <strike/>
        <color rgb="FF000000"/>
        <sz val="11.0"/>
      </rPr>
      <t xml:space="preserve">22D17KS00950GDA10
</t>
    </r>
    <r>
      <rPr>
        <rFont val="&quot;Times New Roman&quot;, serif"/>
        <color rgb="FF000000"/>
        <sz val="11.0"/>
      </rPr>
      <t xml:space="preserve"> 22D17KS00950XXX10</t>
    </r>
  </si>
  <si>
    <t>Skun BC 95mmSQ M10</t>
  </si>
  <si>
    <t>Skun Kabel BC 95mmSQ M10</t>
  </si>
  <si>
    <t>Kabel BC 95 mm² c/w SCUN Netral Trafo</t>
  </si>
  <si>
    <t>Kabel, BC 95 mmSQ</t>
  </si>
  <si>
    <r>
      <rPr>
        <rFont val="&quot;Times New Roman&quot;, serif"/>
        <strike/>
        <color rgb="FF000000"/>
        <sz val="11.0"/>
      </rPr>
      <t xml:space="preserve">22D17KS00950GDA10
</t>
    </r>
    <r>
      <rPr>
        <rFont val="&quot;Times New Roman&quot;, serif"/>
        <color rgb="FF000000"/>
        <sz val="11.0"/>
      </rPr>
      <t xml:space="preserve"> 22D17KS00950XXX10</t>
    </r>
  </si>
  <si>
    <t>22A02GA00095AYX00</t>
  </si>
  <si>
    <t>Kabel NYA 95 mm² c/w SCUN Body Trafo</t>
  </si>
  <si>
    <t>Kabel, NYA 95 mmSQ</t>
  </si>
  <si>
    <t>20/04/2026</t>
  </si>
  <si>
    <t>30/04/2026</t>
  </si>
  <si>
    <r>
      <rPr>
        <rFont val="&quot;Times New Roman&quot;, serif"/>
        <strike/>
        <color rgb="FF000000"/>
        <sz val="11.0"/>
      </rPr>
      <t xml:space="preserve">22D17KS00950GDA10
</t>
    </r>
    <r>
      <rPr>
        <rFont val="&quot;Times New Roman&quot;, serif"/>
        <color rgb="FF000000"/>
        <sz val="11.0"/>
      </rPr>
      <t xml:space="preserve"> 22D17KS00950XXX10</t>
    </r>
  </si>
  <si>
    <t>Skun NYA 95mmSQ M10</t>
  </si>
  <si>
    <t>Skun Kabel NYA 95mmSQ M10</t>
  </si>
  <si>
    <t>Kabel NYA 95 mm² c/w SCUN Netral Trafo</t>
  </si>
  <si>
    <r>
      <rPr>
        <rFont val="&quot;Times New Roman&quot;, serif"/>
        <strike/>
        <color rgb="FF000000"/>
        <sz val="11.0"/>
      </rPr>
      <t xml:space="preserve">22D17KS00950GDA10
</t>
    </r>
    <r>
      <rPr>
        <rFont val="&quot;Times New Roman&quot;, serif"/>
        <color rgb="FF000000"/>
        <sz val="11.0"/>
      </rPr>
      <t xml:space="preserve"> 22D17KS00950XXX10</t>
    </r>
  </si>
  <si>
    <t>Kabel BC 95 mm² c/w SCUN Body Genset</t>
  </si>
  <si>
    <r>
      <rPr>
        <rFont val="&quot;Times New Roman&quot;, serif"/>
        <strike/>
        <color rgb="FF000000"/>
        <sz val="11.0"/>
      </rPr>
      <t xml:space="preserve">22D17KS00950GDA10
</t>
    </r>
    <r>
      <rPr>
        <rFont val="&quot;Times New Roman&quot;, serif"/>
        <color rgb="FF000000"/>
        <sz val="11.0"/>
      </rPr>
      <t xml:space="preserve"> 22D17KS00950XXX10</t>
    </r>
  </si>
  <si>
    <t>Kabel BC 95 mm² c/w SCUN Netral Genset</t>
  </si>
  <si>
    <r>
      <rPr>
        <rFont val="&quot;Times New Roman&quot;, serif"/>
        <strike/>
        <color rgb="FF000000"/>
        <sz val="11.0"/>
      </rPr>
      <t xml:space="preserve">22D17KS00950GDA10
</t>
    </r>
    <r>
      <rPr>
        <rFont val="&quot;Times New Roman&quot;, serif"/>
        <color rgb="FF000000"/>
        <sz val="11.0"/>
      </rPr>
      <t xml:space="preserve"> 22D17KS00950XXX10</t>
    </r>
  </si>
  <si>
    <t>Kabel NYA 95 mm² c/w SCUN Body Genset</t>
  </si>
  <si>
    <r>
      <rPr>
        <rFont val="&quot;Times New Roman&quot;, serif"/>
        <strike/>
        <color rgb="FF000000"/>
        <sz val="11.0"/>
      </rPr>
      <t xml:space="preserve">22D17KS00950GDA10
</t>
    </r>
    <r>
      <rPr>
        <rFont val="&quot;Times New Roman&quot;, serif"/>
        <color rgb="FF000000"/>
        <sz val="11.0"/>
      </rPr>
      <t xml:space="preserve"> 22D17KS00950XXX10</t>
    </r>
  </si>
  <si>
    <t>Kabel NYA 95 mm² c/w SCUN Netral Genset</t>
  </si>
  <si>
    <r>
      <rPr>
        <rFont val="&quot;Times New Roman&quot;, serif"/>
        <strike/>
        <color rgb="FF000000"/>
        <sz val="11.0"/>
      </rPr>
      <t xml:space="preserve">22D17KS00950GDA10
</t>
    </r>
    <r>
      <rPr>
        <rFont val="&quot;Times New Roman&quot;, serif"/>
        <color rgb="FF000000"/>
        <sz val="11.0"/>
      </rPr>
      <t xml:space="preserve"> 22D17KS00950XXX10</t>
    </r>
  </si>
  <si>
    <t>Kabel BC 95 mm² c/w SCUN PE MVMDP</t>
  </si>
  <si>
    <r>
      <rPr>
        <rFont val="&quot;Times New Roman&quot;, serif"/>
        <strike/>
        <color rgb="FF000000"/>
        <sz val="11.0"/>
      </rPr>
      <t xml:space="preserve">22D17KS00950GDA10
</t>
    </r>
    <r>
      <rPr>
        <rFont val="&quot;Times New Roman&quot;, serif"/>
        <color rgb="FF000000"/>
        <sz val="11.0"/>
      </rPr>
      <t xml:space="preserve"> 22D17KS00950XXX10</t>
    </r>
  </si>
  <si>
    <t>Kabel NYA 95 mm² c/w SCUN PE MVMDP</t>
  </si>
  <si>
    <r>
      <rPr>
        <rFont val="&quot;Times New Roman&quot;, serif"/>
        <strike/>
        <color rgb="FF000000"/>
        <sz val="11.0"/>
      </rPr>
      <t xml:space="preserve">22D17KS00950GDA10
</t>
    </r>
    <r>
      <rPr>
        <rFont val="&quot;Times New Roman&quot;, serif"/>
        <color rgb="FF000000"/>
        <sz val="11.0"/>
      </rPr>
      <t xml:space="preserve"> 22D17KS00950XXX10</t>
    </r>
  </si>
  <si>
    <t>22B66XX00400XXX02</t>
  </si>
  <si>
    <t>Test box</t>
  </si>
  <si>
    <t>400 x 400 x 200 mm/terminal bar</t>
  </si>
  <si>
    <t>22A19DA05030XXB01</t>
  </si>
  <si>
    <t>Grounding bus bar 30 x 5 x 400 cupper w/ isolator</t>
  </si>
  <si>
    <t>Lokal</t>
  </si>
  <si>
    <t>22A02HD30120AYX00</t>
  </si>
  <si>
    <t>P.Cubicle Teg. Menengah sisi PLN Out going Ke Panel Cubicle Incoming Pelanggan</t>
  </si>
  <si>
    <t>Extrana, N2XSY, 3 x 1 x 120mmsq, Tembaga / cu, PLN Out going Ke Panel Cubicle</t>
  </si>
  <si>
    <t>P.Cubicle Teg. Menengah sisi Pelanggan Ke Trafo 630KVA</t>
  </si>
  <si>
    <t>Extrana, N2XSY, 3 x 1 x 120mmsq, Tembaga / cu, P.Cubicle Teg. Menengah sisi Pelanggan Ke Trafo 630KVA,</t>
  </si>
  <si>
    <t>22D17KT01120XXZ01</t>
  </si>
  <si>
    <t>Pekerjaan Skun dan Isolator Untuk Penggantian kabel 20 KV Joint sleeve 120mM2 Cu Compression [ skun lubang (unit)</t>
  </si>
  <si>
    <t>Pengadaan dan Pemasangan instalasi Reychem 20kV</t>
  </si>
  <si>
    <t>22A02GJ02412AYX01</t>
  </si>
  <si>
    <t>Trafo Baru 630 KVA ke In Coming LVMDP Power House</t>
  </si>
  <si>
    <t>Extrana, NYY 2X(4 X 1 x 240 mmsq)
  +PE NYA 120mmsq</t>
  </si>
  <si>
    <t>15/04/2026</t>
  </si>
  <si>
    <t>22A02GJ18595AYX01</t>
  </si>
  <si>
    <t>Genset ke LVMDP</t>
  </si>
  <si>
    <t>Extrana, NYY 2X(4 X 1 x 185 mmsq)
  +PE NYA 95mmsq</t>
  </si>
  <si>
    <t>22A02GE40240AYX00</t>
  </si>
  <si>
    <t>LVMDP ke MDP-1.1</t>
  </si>
  <si>
    <t>Kabel NYFGBY 4 X 240 mmsq</t>
  </si>
  <si>
    <t>22A02GE40150AYX00</t>
  </si>
  <si>
    <t>LVMDP MDP-1.1 ke MDP-1.1 SDP5</t>
  </si>
  <si>
    <t>Kabel, NYFGBY 4 X 150 mmsq</t>
  </si>
  <si>
    <t>22A02GE04035AYX00</t>
  </si>
  <si>
    <t>SDP-5 ke SDP-2</t>
  </si>
  <si>
    <t>Kabel, NYFGBY 4 X 35 mmsq</t>
  </si>
  <si>
    <t>22A02GE04095AYX00</t>
  </si>
  <si>
    <t>SDP-5 ke SDP-6</t>
  </si>
  <si>
    <t>Kabel, NYFGBY 4 X 95 mmsq</t>
  </si>
  <si>
    <t>MDP-1.1 ke SDP-9</t>
  </si>
  <si>
    <t>22A02GE03060AYX00</t>
  </si>
  <si>
    <t>SDP-2 ke LP&amp;PP KANTIN SMP</t>
  </si>
  <si>
    <t>Kabel, NYFGBY 3 X 6 mmsq</t>
  </si>
  <si>
    <t>LP&amp;PP KANTIN SMP ke Masjid
 SDP-11 ke LP&amp;PP KANTIN SMP</t>
  </si>
  <si>
    <t>25/05/2026</t>
  </si>
  <si>
    <t>13/06/2026</t>
  </si>
  <si>
    <t>22A02GE04070AYX00</t>
  </si>
  <si>
    <t>SDP-6 ke SDP-7</t>
  </si>
  <si>
    <t>Kabel, NYFGBY 4 X 70 mmsq</t>
  </si>
  <si>
    <t>SDP-6 SDP-7 ke PP&amp;LP KANTIN SD</t>
  </si>
  <si>
    <t>22A02GE04060AYX00</t>
  </si>
  <si>
    <t>SDP-7 ke PP&amp;LP Gd.SERBAGUNA MDP1.1 ke PP&amp;LP Gd.SERBAGUNA</t>
  </si>
  <si>
    <t>Kabel, NYFGBY 4 X 6mmsq</t>
  </si>
  <si>
    <t>22A02GE04050AYX00</t>
  </si>
  <si>
    <t>SDP-7 KE SDP-12</t>
  </si>
  <si>
    <t>Kabel, NYFGBY 4 X 50 mmsq</t>
  </si>
  <si>
    <t>SDP-12 ke SDP-13
 SDP-7 KE SDP-4</t>
  </si>
  <si>
    <t>LVMDP ke MDP-2.1</t>
  </si>
  <si>
    <t>MDP-1.1 ke SDP-4 MDP-2.1 ke SDP-8</t>
  </si>
  <si>
    <t>SDP-8 ke SDP-10</t>
  </si>
  <si>
    <t>SDP-10 ke SDP-11</t>
  </si>
  <si>
    <r>
      <rPr>
        <rFont val="&quot;Times New Roman&quot;, serif"/>
        <strike/>
        <color rgb="FF000000"/>
        <sz val="11.0"/>
      </rPr>
      <t xml:space="preserve">22A02GE04025AYX00
</t>
    </r>
    <r>
      <rPr>
        <rFont val="&quot;Times New Roman&quot;, serif"/>
        <color rgb="FF000000"/>
        <sz val="11.0"/>
      </rPr>
      <t xml:space="preserve"> 22A02GE04035AYX00</t>
    </r>
  </si>
  <si>
    <t>SDP-4 ke SDP-9</t>
  </si>
  <si>
    <t>Kabel, NYFGBY 4 X 25 mmsq 4 X 35 mmsq</t>
  </si>
  <si>
    <t>22A02GJ03060AYX00</t>
  </si>
  <si>
    <t>LVMDP ke PP.Elektronik</t>
  </si>
  <si>
    <t>Kabel, NYY 3 X 6 mmsq</t>
  </si>
  <si>
    <t>22A02GJ04010AYX00</t>
  </si>
  <si>
    <t>LVMDP ke PC.Pompa Distribusi</t>
  </si>
  <si>
    <t>Kabel, NYY 4 X 10 mmsq</t>
  </si>
  <si>
    <t>22A02GJ04025AYX00</t>
  </si>
  <si>
    <t>PC.Pompa Distribusi Ke unit Pompa Distribusi</t>
  </si>
  <si>
    <t>Kabel, NYY 4 X 2,5 mmsq</t>
  </si>
  <si>
    <t>22A02GJ04060AYX00</t>
  </si>
  <si>
    <t>LVMDP ke PC.Pompa Siram Taman</t>
  </si>
  <si>
    <t>Kabel, NYY 4 X 6 mmsq</t>
  </si>
  <si>
    <t>LVMDP ke PC.Deepwell</t>
  </si>
  <si>
    <t>LVMDP ke LP &amp; PP Power House</t>
  </si>
  <si>
    <t>22A02GJ40700AYX00</t>
  </si>
  <si>
    <t>LVMDP ke PC.Pompa Electric Pump</t>
  </si>
  <si>
    <t>Kabel, NYY 4 X 1 X 70 mmsq NYFGBY 4 X 150mm2</t>
  </si>
  <si>
    <t>22A02GA01500AYX00</t>
  </si>
  <si>
    <t>Kabel, NYA 1 X 50 mmsq</t>
  </si>
  <si>
    <t>22A02GJ40250AYX02</t>
  </si>
  <si>
    <t>PC.Pompa Electric Pump Ke Pompa Electrik Pump</t>
  </si>
  <si>
    <t>Kabel, NYY 2 (4 X 25 mmsq) FRC 4 X 1 X 150mm2</t>
  </si>
  <si>
    <t>22A02HE10050XXX00</t>
  </si>
  <si>
    <t>FRC 1 X 50 mM2 (Grounding)</t>
  </si>
  <si>
    <t>22A02HE04060AYX00</t>
  </si>
  <si>
    <t>LVMDP ke PC.Pompa Jockey Pump</t>
  </si>
  <si>
    <t>Kabel, FRC 4 X 1 X 6 mmsq</t>
  </si>
  <si>
    <t>13-05-2026</t>
  </si>
  <si>
    <t>22A02HE10006XXX00</t>
  </si>
  <si>
    <t>FRC 1 X 6mm2 (Grounding)</t>
  </si>
  <si>
    <t>22A02GJ04040AYX00
 22A02HE04060AYX00</t>
  </si>
  <si>
    <t>PC.Jockey Pump Ke Pompa Jockey</t>
  </si>
  <si>
    <t>Kabel, NYY 4 X 4 mmsq FRC 4 X 1 X 6mm2</t>
  </si>
  <si>
    <t>22A02GJ03040AYX00</t>
  </si>
  <si>
    <t>LVMDP ke PC.Diesel Pump (RECTIFIER)</t>
  </si>
  <si>
    <t>Kabel, NYY 3 X 4mmsq</t>
  </si>
  <si>
    <t>MDP-2.1 ke SDP-3</t>
  </si>
  <si>
    <t>NYFGBY 4 X 35 mM2</t>
  </si>
  <si>
    <t>MDP-2.1 ke SDP-12</t>
  </si>
  <si>
    <t>NYFGBY 4 X 50 mM2</t>
  </si>
  <si>
    <t>MDP-2.1 ke PP&amp;LP Dapur</t>
  </si>
  <si>
    <t>NYFGBY 4 X 6 mM2</t>
  </si>
  <si>
    <t>MDP-2.1 ke PP&amp;LP Gd. Ibadah</t>
  </si>
  <si>
    <t>NYFGBY 3 X 6 mM2</t>
  </si>
  <si>
    <t>SDP-12 ke MCB Box MASJID</t>
  </si>
  <si>
    <t>SDP-8 ke PP&amp;LP Kantin SMA</t>
  </si>
  <si>
    <t>LVMDP ke PP&amp;LP PJU</t>
  </si>
  <si>
    <t>PP&amp;LP Power House ke PP&amp;LP Guest House</t>
  </si>
  <si>
    <t>PP&amp;LP Dapur ke MCB Box Pos Jaga Belakang</t>
  </si>
  <si>
    <t>NYFGBY 4 x 2,5 mM2</t>
  </si>
  <si>
    <t>PP&amp;LP Power House ke MCB Box Pos Jaga Depan</t>
  </si>
  <si>
    <t>22A02GA00016XXX10</t>
  </si>
  <si>
    <t>Kabel Grounding 1x16mmsq</t>
  </si>
  <si>
    <t>NYA 1 X 16mM2</t>
  </si>
  <si>
    <t>22A02GA00050XXX10</t>
  </si>
  <si>
    <t>Kabel Grounding 1x50mmsq</t>
  </si>
  <si>
    <t>NYA 1 X 50 mM2</t>
  </si>
  <si>
    <t>22D17KS02400XXX10</t>
  </si>
  <si>
    <t>Skun Kabel 240mmsq</t>
  </si>
  <si>
    <t>Skun Kabel 240mmsq M10</t>
  </si>
  <si>
    <t>22D17KS01500XXX10</t>
  </si>
  <si>
    <t>Skun Kabel 150mmsq</t>
  </si>
  <si>
    <t>Skun Kabel 150mmsq M10</t>
  </si>
  <si>
    <r>
      <rPr>
        <rFont val="&quot;Times New Roman&quot;, serif"/>
        <strike/>
        <color rgb="FF000000"/>
        <sz val="11.0"/>
      </rPr>
      <t xml:space="preserve">22D17KS00950GDA10
</t>
    </r>
    <r>
      <rPr>
        <rFont val="&quot;Times New Roman&quot;, serif"/>
        <color rgb="FF000000"/>
        <sz val="11.0"/>
      </rPr>
      <t xml:space="preserve"> 22D17KS00950XXX10</t>
    </r>
  </si>
  <si>
    <t>Skun Kabel 95mmsq</t>
  </si>
  <si>
    <t>Skun Kabel 95mmsq M10</t>
  </si>
  <si>
    <t>22D17KS00700XXX10</t>
  </si>
  <si>
    <t>Skun Kabel 70mmsq</t>
  </si>
  <si>
    <t>Skun Kabel 70mmsq M10</t>
  </si>
  <si>
    <t>22D17KS00500XXX10</t>
  </si>
  <si>
    <t>Skun Kabel 50mmsq</t>
  </si>
  <si>
    <t>Skun Kabel 50mmsq M10</t>
  </si>
  <si>
    <t>22D17KS00350XXX10</t>
  </si>
  <si>
    <t>Skun Kabel 35mmsq</t>
  </si>
  <si>
    <t>Skun Kabel 35mmsq M10</t>
  </si>
  <si>
    <t>22D17KS00100XXX10</t>
  </si>
  <si>
    <t>Skun Kabel 10mmsq</t>
  </si>
  <si>
    <t>Skun Kabel 10mmsq M10</t>
  </si>
  <si>
    <t>22D17KS00060XXX10</t>
  </si>
  <si>
    <t>Skun Kabel 6mmsq</t>
  </si>
  <si>
    <t>Skun Kabel 6mmsq M10</t>
  </si>
  <si>
    <t>22D17KS00040XXX10</t>
  </si>
  <si>
    <t>Skun Kabel 4mmsq</t>
  </si>
  <si>
    <t>Skun Kabel 4mmsq M10</t>
  </si>
  <si>
    <t>22B80XX00023XXX00</t>
  </si>
  <si>
    <t>TIANG PJU</t>
  </si>
  <si>
    <t>TIANG PJU OCTAGONAL SINGLE ORNAMENT PARABOLE 7mtr
  Merek : Bandel, Phillips, Panasonic, Osram, Seven Energi, Artolite,ILLUME,CMC,HORMES Series</t>
  </si>
  <si>
    <t>22B80XX00024XXX00</t>
  </si>
  <si>
    <t>Armatur Lampu PJU LED 60W 4000K 90D</t>
  </si>
  <si>
    <t>Armatur Lampu PJU LED 60W 4000K 90D
  Merek : Bandel, Phillips, Panasonic, Osram, Seven Energi, Artolite,ILLUME,CMC,HORMES Series</t>
  </si>
  <si>
    <t>22B80XX00025XXX00</t>
  </si>
  <si>
    <t>PENERANGAN JALAN DENGAN SOLAR PANEL SYSTEM</t>
  </si>
  <si>
    <t>Lampu Jalan LED Min. 60 Watt+ Aimateur
 Spesifikasi 
 Model/Type : SMD ( Surface Mountain Device ) 
 LED Power : 60 Watt 
 Light Control Voltage : 5 V DC 
 LED Brighnes : Min. 6.600 Lummens 
 Life Time : @ 50.0000 Hours 
 Muminarca ( LUX ) : Min, 22 Lux 
 Area Iluminasi : Min. 15 Meter 
 Tinggi Tiang : 7 Meter 
 Jarak Tiang : 25 - 80 Meter 
 Cassing : Aluminium Alloy Cast - IP 65
 Merek : Bandel, Phillips, Panasonic, Osram, Seven Energi, Artolite,ILLUME,CMC,HORMES Series</t>
  </si>
  <si>
    <t>22B58TD25018XXX00</t>
  </si>
  <si>
    <t>- Battery Lithium Ion Polymer</t>
  </si>
  <si>
    <t>Spesifikasi 
  Model/Type ; Battery Life PO4 
  Capasity : 18 Ah/25,6V 
  Position : In Armature 
  Life Time : Min. 5 Tahun
  Merek : Bandel, Phillips, Panasonic, Osram, Seven Energi, Artolite,ILLUME,CMC,HORMES Series</t>
  </si>
  <si>
    <t>22B58OK50300XXX00</t>
  </si>
  <si>
    <t>- Lighting Controller/ Solar Charge Controller</t>
  </si>
  <si>
    <t>Model/Type : Microwive Sensor Diming System 50-3000mA / MPPT 
  Merek : Bandel, Phillips, Panasonic, Osram, Seven Energi, Artolite,ILLUME,CMC,HORMES Series</t>
  </si>
  <si>
    <t>22B80XX00026XXX00</t>
  </si>
  <si>
    <t>- Solar cell daya 200 Wp</t>
  </si>
  <si>
    <t>Spesifikasi 
  Model/Type : Monocrystalline 200WP With Temprered Glass 
  Max. Power : 200 WP 
  Max. Voltage : 35 V 
  Max. Power Current : 3, 59 A 
  Open Circuit Current : 45.60 V 
  Short Circuit Current : 6, 02 A 
  Efficiency : Min. 15% 
  Merek : Bandel, Phillips, Panasonic, Osram, Seven Energi, Artolite,ILLUME,CMC,HORMES Series</t>
  </si>
  <si>
    <t>- Tiang Lampu Jalan Oktagonal Single 7mtr</t>
  </si>
  <si>
    <t>Spesifikasi 
  Model : Octagonal tinggi 7 Meter - Single ornamen 
  Material : Carbon Still SS 400/Equivalent 
  Tinggi : 7 Meter 
  Panjang Lengan : 2 Meter 
  Finising : Hot diip Galvanize 
  Merek : Bandel, Phillips, Panasonic, Osram, Seven Energi, Artolite,ILLUME,CMC,HORMES Series</t>
  </si>
  <si>
    <t>22B58OA13527XXX01</t>
  </si>
  <si>
    <t>Lampu Taman</t>
  </si>
  <si>
    <t>Lampu Taman GL SQ 135 E27 Besi 1000cm LED BULB 14,5W
  Merek : Bandel, Phillips, Panasonic, Osram, Seven Energi, Artolite,ILLUME,CMC,HORMES Series</t>
  </si>
  <si>
    <t>22A02GE04040AYX00</t>
  </si>
  <si>
    <t>Instalasi Penerangan Kawasan</t>
  </si>
  <si>
    <t>Extrana, NYFGBY 4 X 4 mmsq</t>
  </si>
  <si>
    <t>22A02GE04025AYX01</t>
  </si>
  <si>
    <t>Extrana, NYFGBY 4 X 2,5 mmsq</t>
  </si>
  <si>
    <t>22A02GF03025AYX01</t>
  </si>
  <si>
    <t>Instalasi Penerangan (tiang PJU)</t>
  </si>
  <si>
    <t>Extrana, NYM 3 X 2.5 mmsq (tiang PJU)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</si>
</sst>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mm/dd/yyyy"/>
    <numFmt numFmtId="166" formatCode="0.0"/>
    <numFmt numFmtId="167" formatCode="m d"/>
  </numFmts>
  <fonts count="28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b/>
      <sz val="12.0"/>
      <color rgb="FF000000"/>
      <name val="Calibri"/>
    </font>
    <font/>
    <font>
      <sz val="11.0"/>
      <color theme="1"/>
      <name val="Arial"/>
    </font>
    <font>
      <b/>
      <sz val="11.0"/>
      <color theme="1"/>
      <name val="Arial"/>
    </font>
    <font>
      <b/>
      <sz val="11.0"/>
      <color rgb="FF000000"/>
      <name val="&quot;Times New Roman&quot;"/>
    </font>
    <font>
      <sz val="11.0"/>
      <color rgb="FF000000"/>
      <name val="&quot;Times New Roman&quot;"/>
    </font>
    <font>
      <b/>
      <sz val="11.0"/>
      <color rgb="FF000000"/>
      <name val="&quot;\0022Times New Roman\0022&quot;"/>
    </font>
    <font>
      <sz val="11.0"/>
      <color rgb="FF000000"/>
      <name val="&quot;\0022Times New Roman\0022&quot;"/>
    </font>
    <font>
      <sz val="11.0"/>
      <color theme="1"/>
      <name val="Times New Roman"/>
    </font>
    <font>
      <strike/>
      <sz val="11.0"/>
      <color theme="1"/>
      <name val="Arial"/>
    </font>
    <font>
      <sz val="11.0"/>
      <color theme="1"/>
      <name val="Calibri"/>
    </font>
    <font>
      <sz val="12.0"/>
      <color theme="1"/>
      <name val="Calibri"/>
    </font>
    <font>
      <sz val="12.0"/>
      <color theme="1"/>
      <name val="Arial"/>
    </font>
    <font>
      <sz val="11.0"/>
      <color rgb="FF000000"/>
      <name val="&quot;\0022Times New Roman\0022\"/>
    </font>
    <font>
      <b/>
      <strike/>
      <sz val="11.0"/>
      <color theme="1"/>
      <name val="Arial"/>
    </font>
    <font>
      <strike/>
      <sz val="11.0"/>
      <color rgb="FF000000"/>
      <name val="&quot;\0022Times New Roman\0022&quot;"/>
    </font>
    <font>
      <strike/>
      <sz val="11.0"/>
      <color rgb="FF000000"/>
      <name val="&quot;\0022Times New Roman\0022\"/>
    </font>
    <font>
      <color theme="1"/>
      <name val="Arial"/>
      <scheme val="minor"/>
    </font>
    <font>
      <b/>
      <sz val="11.0"/>
      <color theme="1"/>
      <name val="&quot;\0022Times New Roman\0022&quot;"/>
    </font>
    <font>
      <strike/>
      <sz val="11.0"/>
      <color rgb="FF000000"/>
      <name val="&quot;Times New Roman&quot;"/>
    </font>
    <font>
      <sz val="11.0"/>
      <color rgb="FF000000"/>
      <name val="Calibri"/>
    </font>
    <font>
      <strike/>
      <sz val="11.0"/>
      <color rgb="FF242424"/>
      <name val="&quot;Times New Roman&quot;"/>
    </font>
  </fonts>
  <fills count="1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2" fontId="2" numFmtId="0" xfId="0" applyAlignment="1" applyFill="1" applyFont="1">
      <alignment horizontal="center" readingOrder="0" vertical="center"/>
    </xf>
    <xf borderId="1" fillId="0" fontId="4" numFmtId="0" xfId="0" applyAlignment="1" applyBorder="1" applyFont="1">
      <alignment readingOrder="0" shrinkToFit="0" vertical="center" wrapText="1"/>
    </xf>
    <xf borderId="2" fillId="3" fontId="5" numFmtId="0" xfId="0" applyAlignment="1" applyBorder="1" applyFill="1" applyFont="1">
      <alignment horizontal="center" readingOrder="0" vertical="center"/>
    </xf>
    <xf borderId="1" fillId="3" fontId="5" numFmtId="0" xfId="0" applyAlignment="1" applyBorder="1" applyFont="1">
      <alignment horizontal="center" readingOrder="0" shrinkToFit="0" vertical="center" wrapText="0"/>
    </xf>
    <xf borderId="2" fillId="3" fontId="5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ont="1">
      <alignment horizontal="center" readingOrder="0" shrinkToFit="0" vertical="center" wrapText="0"/>
    </xf>
    <xf borderId="2" fillId="3" fontId="5" numFmtId="0" xfId="0" applyAlignment="1" applyBorder="1" applyFont="1">
      <alignment horizontal="center" readingOrder="0" shrinkToFit="0" vertical="center" wrapText="0"/>
    </xf>
    <xf borderId="2" fillId="4" fontId="5" numFmtId="1" xfId="0" applyAlignment="1" applyBorder="1" applyFill="1" applyFont="1" applyNumberFormat="1">
      <alignment horizontal="center" readingOrder="0" shrinkToFit="0" vertical="center" wrapText="0"/>
    </xf>
    <xf borderId="2" fillId="4" fontId="5" numFmtId="0" xfId="0" applyAlignment="1" applyBorder="1" applyFont="1">
      <alignment horizontal="center" readingOrder="0" shrinkToFit="0" vertical="center" wrapText="0"/>
    </xf>
    <xf borderId="2" fillId="4" fontId="5" numFmtId="164" xfId="0" applyAlignment="1" applyBorder="1" applyFont="1" applyNumberFormat="1">
      <alignment horizontal="center" readingOrder="0" shrinkToFit="0" vertical="center" wrapText="0"/>
    </xf>
    <xf borderId="2" fillId="4" fontId="5" numFmtId="0" xfId="0" applyAlignment="1" applyBorder="1" applyFont="1">
      <alignment horizontal="center" readingOrder="0" shrinkToFit="0" vertical="center" wrapText="1"/>
    </xf>
    <xf borderId="2" fillId="5" fontId="5" numFmtId="0" xfId="0" applyAlignment="1" applyBorder="1" applyFill="1" applyFont="1">
      <alignment horizontal="center" readingOrder="0" shrinkToFit="0" vertical="center" wrapText="1"/>
    </xf>
    <xf borderId="2" fillId="6" fontId="5" numFmtId="0" xfId="0" applyAlignment="1" applyBorder="1" applyFill="1" applyFont="1">
      <alignment horizontal="center" readingOrder="0" shrinkToFit="0" vertical="center" wrapText="1"/>
    </xf>
    <xf borderId="3" fillId="0" fontId="7" numFmtId="0" xfId="0" applyBorder="1" applyFont="1"/>
    <xf borderId="4" fillId="7" fontId="8" numFmtId="0" xfId="0" applyAlignment="1" applyBorder="1" applyFill="1" applyFont="1">
      <alignment readingOrder="0" vertical="center"/>
    </xf>
    <xf borderId="4" fillId="7" fontId="9" numFmtId="0" xfId="0" applyAlignment="1" applyBorder="1" applyFont="1">
      <alignment shrinkToFit="0" vertical="center" wrapText="0"/>
    </xf>
    <xf borderId="4" fillId="7" fontId="8" numFmtId="0" xfId="0" applyAlignment="1" applyBorder="1" applyFont="1">
      <alignment shrinkToFit="0" vertical="center" wrapText="1"/>
    </xf>
    <xf borderId="4" fillId="7" fontId="8" numFmtId="0" xfId="0" applyAlignment="1" applyBorder="1" applyFont="1">
      <alignment vertical="center"/>
    </xf>
    <xf borderId="4" fillId="7" fontId="8" numFmtId="0" xfId="0" applyAlignment="1" applyBorder="1" applyFont="1">
      <alignment horizontal="center" vertical="center"/>
    </xf>
    <xf borderId="1" fillId="7" fontId="8" numFmtId="0" xfId="0" applyAlignment="1" applyBorder="1" applyFont="1">
      <alignment horizontal="center" vertical="center"/>
    </xf>
    <xf borderId="1" fillId="7" fontId="8" numFmtId="164" xfId="0" applyAlignment="1" applyBorder="1" applyFont="1" applyNumberFormat="1">
      <alignment horizontal="center" vertical="center"/>
    </xf>
    <xf borderId="5" fillId="7" fontId="8" numFmtId="0" xfId="0" applyAlignment="1" applyBorder="1" applyFont="1">
      <alignment horizontal="center" vertical="center"/>
    </xf>
    <xf borderId="4" fillId="7" fontId="10" numFmtId="0" xfId="0" applyAlignment="1" applyBorder="1" applyFont="1">
      <alignment horizontal="center" readingOrder="0" vertical="center"/>
    </xf>
    <xf borderId="5" fillId="7" fontId="10" numFmtId="0" xfId="0" applyAlignment="1" applyBorder="1" applyFont="1">
      <alignment horizontal="center" readingOrder="0" vertical="center"/>
    </xf>
    <xf borderId="1" fillId="8" fontId="11" numFmtId="0" xfId="0" applyAlignment="1" applyBorder="1" applyFill="1" applyFont="1">
      <alignment horizontal="center" readingOrder="0" vertical="center"/>
    </xf>
    <xf borderId="1" fillId="0" fontId="9" numFmtId="0" xfId="0" applyAlignment="1" applyBorder="1" applyFont="1">
      <alignment readingOrder="0" shrinkToFit="0" vertical="center" wrapText="0"/>
    </xf>
    <xf borderId="1" fillId="0" fontId="12" numFmtId="0" xfId="0" applyAlignment="1" applyBorder="1" applyFont="1">
      <alignment readingOrder="0" vertical="center"/>
    </xf>
    <xf borderId="1" fillId="8" fontId="13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8" numFmtId="165" xfId="0" applyAlignment="1" applyBorder="1" applyFont="1" applyNumberFormat="1">
      <alignment horizontal="center" readingOrder="0" shrinkToFit="0" vertical="center" wrapText="1"/>
    </xf>
    <xf borderId="1" fillId="0" fontId="8" numFmtId="164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8" fontId="10" numFmtId="0" xfId="0" applyAlignment="1" applyBorder="1" applyFont="1">
      <alignment horizontal="center" readingOrder="0" vertical="center"/>
    </xf>
    <xf borderId="1" fillId="8" fontId="12" numFmtId="0" xfId="0" applyAlignment="1" applyBorder="1" applyFont="1">
      <alignment horizontal="center" readingOrder="0" vertical="center"/>
    </xf>
    <xf borderId="1" fillId="7" fontId="9" numFmtId="0" xfId="0" applyAlignment="1" applyBorder="1" applyFont="1">
      <alignment vertical="center"/>
    </xf>
    <xf borderId="4" fillId="7" fontId="9" numFmtId="0" xfId="0" applyAlignment="1" applyBorder="1" applyFont="1">
      <alignment vertical="center"/>
    </xf>
    <xf borderId="5" fillId="7" fontId="9" numFmtId="0" xfId="0" applyAlignment="1" applyBorder="1" applyFont="1">
      <alignment vertical="center"/>
    </xf>
    <xf borderId="1" fillId="7" fontId="8" numFmtId="0" xfId="0" applyAlignment="1" applyBorder="1" applyFont="1">
      <alignment horizontal="center" vertical="center"/>
    </xf>
    <xf borderId="2" fillId="7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vertical="center"/>
    </xf>
    <xf borderId="1" fillId="0" fontId="9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9" fontId="8" numFmtId="0" xfId="0" applyAlignment="1" applyBorder="1" applyFill="1" applyFont="1">
      <alignment horizontal="center" vertical="center"/>
    </xf>
    <xf borderId="1" fillId="9" fontId="8" numFmtId="0" xfId="0" applyAlignment="1" applyBorder="1" applyFont="1">
      <alignment horizontal="center" vertical="center"/>
    </xf>
    <xf borderId="1" fillId="9" fontId="8" numFmtId="164" xfId="0" applyAlignment="1" applyBorder="1" applyFont="1" applyNumberFormat="1">
      <alignment horizontal="center" vertical="center"/>
    </xf>
    <xf borderId="2" fillId="9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1" fillId="0" fontId="8" numFmtId="1" xfId="0" applyAlignment="1" applyBorder="1" applyFont="1" applyNumberFormat="1">
      <alignment horizontal="center" shrinkToFit="0" vertical="center" wrapText="1"/>
    </xf>
    <xf borderId="1" fillId="0" fontId="8" numFmtId="164" xfId="0" applyAlignment="1" applyBorder="1" applyFont="1" applyNumberFormat="1">
      <alignment horizontal="center" shrinkToFit="0" vertical="center" wrapText="1"/>
    </xf>
    <xf borderId="1" fillId="0" fontId="8" numFmtId="165" xfId="0" applyAlignment="1" applyBorder="1" applyFont="1" applyNumberFormat="1">
      <alignment horizontal="center" readingOrder="0" vertical="center"/>
    </xf>
    <xf borderId="2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1" fillId="8" fontId="13" numFmtId="1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1" fillId="0" fontId="8" numFmtId="165" xfId="0" applyAlignment="1" applyBorder="1" applyFont="1" applyNumberFormat="1">
      <alignment horizontal="center" shrinkToFit="0" vertical="center" wrapText="1"/>
    </xf>
    <xf borderId="1" fillId="0" fontId="8" numFmtId="3" xfId="0" applyAlignment="1" applyBorder="1" applyFont="1" applyNumberFormat="1">
      <alignment horizontal="center" shrinkToFit="0" vertical="center" wrapText="1"/>
    </xf>
    <xf borderId="1" fillId="10" fontId="8" numFmtId="0" xfId="0" applyAlignment="1" applyBorder="1" applyFill="1" applyFont="1">
      <alignment horizontal="center" vertical="center"/>
    </xf>
    <xf borderId="1" fillId="10" fontId="8" numFmtId="0" xfId="0" applyAlignment="1" applyBorder="1" applyFont="1">
      <alignment shrinkToFit="0" vertical="center" wrapText="1"/>
    </xf>
    <xf borderId="1" fillId="10" fontId="14" numFmtId="0" xfId="0" applyAlignment="1" applyBorder="1" applyFont="1">
      <alignment shrinkToFit="0" vertical="center" wrapText="1"/>
    </xf>
    <xf borderId="1" fillId="10" fontId="14" numFmtId="0" xfId="0" applyAlignment="1" applyBorder="1" applyFont="1">
      <alignment horizontal="center" vertical="center"/>
    </xf>
    <xf borderId="1" fillId="10" fontId="8" numFmtId="0" xfId="0" applyAlignment="1" applyBorder="1" applyFont="1">
      <alignment horizontal="center" vertical="center"/>
    </xf>
    <xf borderId="1" fillId="10" fontId="8" numFmtId="164" xfId="0" applyAlignment="1" applyBorder="1" applyFont="1" applyNumberFormat="1">
      <alignment horizontal="center" vertical="center"/>
    </xf>
    <xf borderId="1" fillId="0" fontId="8" numFmtId="1" xfId="0" applyAlignment="1" applyBorder="1" applyFont="1" applyNumberFormat="1">
      <alignment horizontal="center" readingOrder="0" vertical="center"/>
    </xf>
    <xf borderId="1" fillId="0" fontId="8" numFmtId="1" xfId="0" applyAlignment="1" applyBorder="1" applyFont="1" applyNumberForma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horizontal="center" vertical="center"/>
    </xf>
    <xf borderId="1" fillId="0" fontId="8" numFmtId="0" xfId="0" applyAlignment="1" applyBorder="1" applyFont="1">
      <alignment vertical="center"/>
    </xf>
    <xf borderId="1" fillId="0" fontId="16" numFmtId="0" xfId="0" applyAlignment="1" applyBorder="1" applyFont="1">
      <alignment horizontal="center" vertical="center"/>
    </xf>
    <xf borderId="1" fillId="0" fontId="16" numFmtId="0" xfId="0" applyAlignment="1" applyBorder="1" applyFont="1">
      <alignment shrinkToFit="0" vertical="center" wrapText="1"/>
    </xf>
    <xf borderId="1" fillId="0" fontId="17" numFmtId="0" xfId="0" applyAlignment="1" applyBorder="1" applyFont="1">
      <alignment horizontal="center" readingOrder="0" vertical="center"/>
    </xf>
    <xf borderId="1" fillId="0" fontId="8" numFmtId="165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1" fillId="0" fontId="18" numFmtId="1" xfId="0" applyAlignment="1" applyBorder="1" applyFont="1" applyNumberForma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left" readingOrder="0" shrinkToFit="0" vertical="center" wrapText="1"/>
    </xf>
    <xf borderId="2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  <xf borderId="2" fillId="0" fontId="8" numFmtId="165" xfId="0" applyAlignment="1" applyBorder="1" applyFont="1" applyNumberFormat="1">
      <alignment horizontal="center" readingOrder="0" vertical="center"/>
    </xf>
    <xf borderId="2" fillId="10" fontId="8" numFmtId="0" xfId="0" applyAlignment="1" applyBorder="1" applyFont="1">
      <alignment horizontal="center" vertical="center"/>
    </xf>
    <xf borderId="6" fillId="0" fontId="7" numFmtId="0" xfId="0" applyBorder="1" applyFont="1"/>
    <xf borderId="1" fillId="0" fontId="9" numFmtId="0" xfId="0" applyAlignment="1" applyBorder="1" applyFont="1">
      <alignment vertical="center"/>
    </xf>
    <xf borderId="1" fillId="0" fontId="8" numFmtId="164" xfId="0" applyAlignment="1" applyBorder="1" applyFont="1" applyNumberFormat="1">
      <alignment vertical="center"/>
    </xf>
    <xf borderId="1" fillId="8" fontId="14" numFmtId="0" xfId="0" applyAlignment="1" applyBorder="1" applyFont="1">
      <alignment horizontal="center" vertical="center"/>
    </xf>
    <xf borderId="1" fillId="8" fontId="9" numFmtId="0" xfId="0" applyAlignment="1" applyBorder="1" applyFont="1">
      <alignment horizontal="center" vertical="center"/>
    </xf>
    <xf borderId="1" fillId="8" fontId="8" numFmtId="0" xfId="0" applyAlignment="1" applyBorder="1" applyFont="1">
      <alignment horizontal="center" vertical="center"/>
    </xf>
    <xf borderId="1" fillId="9" fontId="8" numFmtId="165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15" numFmtId="1" xfId="0" applyAlignment="1" applyBorder="1" applyFont="1" applyNumberFormat="1">
      <alignment horizontal="center" vertical="center"/>
    </xf>
    <xf borderId="1" fillId="9" fontId="8" numFmtId="166" xfId="0" applyAlignment="1" applyBorder="1" applyFont="1" applyNumberFormat="1">
      <alignment horizontal="center" vertical="center"/>
    </xf>
    <xf borderId="6" fillId="0" fontId="8" numFmtId="0" xfId="0" applyAlignment="1" applyBorder="1" applyFont="1">
      <alignment horizontal="center" vertical="center"/>
    </xf>
    <xf borderId="1" fillId="9" fontId="8" numFmtId="1" xfId="0" applyAlignment="1" applyBorder="1" applyFont="1" applyNumberFormat="1">
      <alignment horizontal="center" vertical="center"/>
    </xf>
    <xf borderId="1" fillId="11" fontId="8" numFmtId="0" xfId="0" applyAlignment="1" applyBorder="1" applyFill="1" applyFont="1">
      <alignment horizontal="center" readingOrder="0" vertical="center"/>
    </xf>
    <xf borderId="1" fillId="12" fontId="8" numFmtId="0" xfId="0" applyAlignment="1" applyBorder="1" applyFill="1" applyFont="1">
      <alignment horizontal="center" vertical="center"/>
    </xf>
    <xf borderId="1" fillId="0" fontId="8" numFmtId="164" xfId="0" applyAlignment="1" applyBorder="1" applyFont="1" applyNumberFormat="1">
      <alignment horizontal="center" readingOrder="0" shrinkToFit="0" vertical="center" wrapText="1"/>
    </xf>
    <xf borderId="1" fillId="8" fontId="13" numFmtId="0" xfId="0" applyAlignment="1" applyBorder="1" applyFont="1">
      <alignment readingOrder="0" shrinkToFit="0" vertical="center" wrapText="1"/>
    </xf>
    <xf borderId="1" fillId="8" fontId="19" numFmtId="0" xfId="0" applyAlignment="1" applyBorder="1" applyFont="1">
      <alignment readingOrder="0" shrinkToFit="0" vertical="center" wrapText="1"/>
    </xf>
    <xf borderId="1" fillId="0" fontId="14" numFmtId="0" xfId="0" applyAlignment="1" applyBorder="1" applyFont="1">
      <alignment horizontal="center" vertical="center"/>
    </xf>
    <xf borderId="1" fillId="0" fontId="8" numFmtId="164" xfId="0" applyAlignment="1" applyBorder="1" applyFont="1" applyNumberFormat="1">
      <alignment horizontal="center" readingOrder="0" vertical="center"/>
    </xf>
    <xf borderId="1" fillId="8" fontId="19" numFmtId="0" xfId="0" applyAlignment="1" applyBorder="1" applyFont="1">
      <alignment horizontal="center" readingOrder="0" vertical="center"/>
    </xf>
    <xf borderId="1" fillId="8" fontId="13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0" fontId="20" numFmtId="0" xfId="0" applyAlignment="1" applyBorder="1" applyFont="1">
      <alignment readingOrder="0" shrinkToFit="0" vertical="center" wrapText="0"/>
    </xf>
    <xf borderId="1" fillId="0" fontId="15" numFmtId="0" xfId="0" applyAlignment="1" applyBorder="1" applyFont="1">
      <alignment shrinkToFit="0" vertical="center" wrapText="1"/>
    </xf>
    <xf borderId="1" fillId="9" fontId="15" numFmtId="1" xfId="0" applyAlignment="1" applyBorder="1" applyFont="1" applyNumberFormat="1">
      <alignment horizontal="center" vertical="center"/>
    </xf>
    <xf borderId="1" fillId="9" fontId="15" numFmtId="1" xfId="0" applyAlignment="1" applyBorder="1" applyFont="1" applyNumberFormat="1">
      <alignment horizontal="center" shrinkToFit="0" vertical="center" wrapText="1"/>
    </xf>
    <xf borderId="1" fillId="9" fontId="15" numFmtId="0" xfId="0" applyAlignment="1" applyBorder="1" applyFont="1">
      <alignment horizontal="center" shrinkToFit="0" vertical="center" wrapText="1"/>
    </xf>
    <xf borderId="1" fillId="9" fontId="15" numFmtId="164" xfId="0" applyAlignment="1" applyBorder="1" applyFont="1" applyNumberFormat="1">
      <alignment horizontal="center" vertical="center"/>
    </xf>
    <xf borderId="1" fillId="9" fontId="15" numFmtId="0" xfId="0" applyAlignment="1" applyBorder="1" applyFont="1">
      <alignment horizontal="center" vertical="center"/>
    </xf>
    <xf borderId="1" fillId="9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readingOrder="0" vertical="center"/>
    </xf>
    <xf borderId="1" fillId="8" fontId="21" numFmtId="0" xfId="0" applyAlignment="1" applyBorder="1" applyFont="1">
      <alignment horizontal="center" readingOrder="0" vertical="center"/>
    </xf>
    <xf borderId="1" fillId="9" fontId="15" numFmtId="0" xfId="0" applyAlignment="1" applyBorder="1" applyFont="1">
      <alignment horizontal="center" vertical="center"/>
    </xf>
    <xf borderId="7" fillId="8" fontId="13" numFmtId="0" xfId="0" applyAlignment="1" applyBorder="1" applyFont="1">
      <alignment horizontal="center" readingOrder="0" vertical="center"/>
    </xf>
    <xf borderId="1" fillId="0" fontId="8" numFmtId="3" xfId="0" applyAlignment="1" applyBorder="1" applyFont="1" applyNumberFormat="1">
      <alignment horizontal="center" vertical="center"/>
    </xf>
    <xf borderId="1" fillId="9" fontId="15" numFmtId="0" xfId="0" applyAlignment="1" applyBorder="1" applyFont="1">
      <alignment horizontal="center" vertical="center"/>
    </xf>
    <xf borderId="2" fillId="0" fontId="8" numFmtId="167" xfId="0" applyAlignment="1" applyBorder="1" applyFont="1" applyNumberFormat="1">
      <alignment horizontal="center" vertical="center"/>
    </xf>
    <xf borderId="1" fillId="8" fontId="12" numFmtId="0" xfId="0" applyAlignment="1" applyBorder="1" applyFont="1">
      <alignment horizontal="center" vertical="center"/>
    </xf>
    <xf borderId="6" fillId="8" fontId="13" numFmtId="0" xfId="0" applyAlignment="1" applyBorder="1" applyFont="1">
      <alignment horizontal="left" readingOrder="0" vertical="center"/>
    </xf>
    <xf borderId="1" fillId="8" fontId="13" numFmtId="0" xfId="0" applyAlignment="1" applyBorder="1" applyFont="1">
      <alignment horizontal="left" readingOrder="0" vertical="center"/>
    </xf>
    <xf borderId="1" fillId="9" fontId="8" numFmtId="3" xfId="0" applyAlignment="1" applyBorder="1" applyFont="1" applyNumberFormat="1">
      <alignment horizontal="center" vertical="center"/>
    </xf>
    <xf borderId="1" fillId="8" fontId="8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readingOrder="0" vertical="center"/>
    </xf>
    <xf borderId="1" fillId="0" fontId="13" numFmtId="1" xfId="0" applyAlignment="1" applyBorder="1" applyFont="1" applyNumberFormat="1">
      <alignment horizontal="center" readingOrder="0" vertical="center"/>
    </xf>
    <xf borderId="1" fillId="9" fontId="15" numFmtId="0" xfId="0" applyAlignment="1" applyBorder="1" applyFont="1">
      <alignment horizontal="center" shrinkToFit="0" vertical="center" wrapText="1"/>
    </xf>
    <xf borderId="1" fillId="8" fontId="21" numFmtId="1" xfId="0" applyAlignment="1" applyBorder="1" applyFont="1" applyNumberFormat="1">
      <alignment horizontal="center" readingOrder="0" vertical="center"/>
    </xf>
    <xf borderId="2" fillId="0" fontId="8" numFmtId="1" xfId="0" applyAlignment="1" applyBorder="1" applyFont="1" applyNumberFormat="1">
      <alignment horizontal="center" vertical="center"/>
    </xf>
    <xf borderId="1" fillId="8" fontId="22" numFmtId="0" xfId="0" applyAlignment="1" applyBorder="1" applyFont="1">
      <alignment horizontal="center" readingOrder="0" vertical="center"/>
    </xf>
    <xf borderId="6" fillId="7" fontId="8" numFmtId="0" xfId="0" applyAlignment="1" applyBorder="1" applyFont="1">
      <alignment horizontal="center" vertical="center"/>
    </xf>
    <xf borderId="6" fillId="7" fontId="8" numFmtId="164" xfId="0" applyAlignment="1" applyBorder="1" applyFont="1" applyNumberFormat="1">
      <alignment horizontal="center" vertical="center"/>
    </xf>
    <xf borderId="6" fillId="7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shrinkToFit="0" vertical="center" wrapText="1"/>
    </xf>
    <xf borderId="4" fillId="0" fontId="7" numFmtId="0" xfId="0" applyBorder="1" applyFont="1"/>
    <xf borderId="5" fillId="0" fontId="7" numFmtId="0" xfId="0" applyBorder="1" applyFont="1"/>
    <xf borderId="1" fillId="7" fontId="8" numFmtId="1" xfId="0" applyAlignment="1" applyBorder="1" applyFont="1" applyNumberFormat="1">
      <alignment horizontal="center" vertical="center"/>
    </xf>
    <xf borderId="3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vertical="center"/>
    </xf>
    <xf borderId="1" fillId="9" fontId="8" numFmtId="1" xfId="0" applyAlignment="1" applyBorder="1" applyFont="1" applyNumberFormat="1">
      <alignment horizontal="center" shrinkToFit="0" vertical="center" wrapText="1"/>
    </xf>
    <xf borderId="1" fillId="9" fontId="8" numFmtId="0" xfId="0" applyAlignment="1" applyBorder="1" applyFont="1">
      <alignment horizontal="center" shrinkToFit="0" vertical="center" wrapText="1"/>
    </xf>
    <xf borderId="1" fillId="9" fontId="8" numFmtId="0" xfId="0" applyAlignment="1" applyBorder="1" applyFont="1">
      <alignment horizontal="center" shrinkToFit="0" vertical="center" wrapText="1"/>
    </xf>
    <xf borderId="1" fillId="9" fontId="8" numFmtId="164" xfId="0" applyAlignment="1" applyBorder="1" applyFont="1" applyNumberFormat="1">
      <alignment horizontal="center" shrinkToFit="0" vertical="center" wrapText="1"/>
    </xf>
    <xf borderId="1" fillId="8" fontId="22" numFmtId="1" xfId="0" applyAlignment="1" applyBorder="1" applyFont="1" applyNumberFormat="1">
      <alignment horizontal="center" readingOrder="0" vertical="center"/>
    </xf>
    <xf borderId="3" fillId="8" fontId="13" numFmtId="0" xfId="0" applyAlignment="1" applyBorder="1" applyFont="1">
      <alignment horizontal="center" readingOrder="0" vertical="center"/>
    </xf>
    <xf borderId="1" fillId="0" fontId="8" numFmtId="1" xfId="0" applyAlignment="1" applyBorder="1" applyFont="1" applyNumberFormat="1">
      <alignment horizontal="center" readingOrder="0" shrinkToFit="0" vertical="center" wrapText="1"/>
    </xf>
    <xf borderId="1" fillId="9" fontId="13" numFmtId="0" xfId="0" applyAlignment="1" applyBorder="1" applyFont="1">
      <alignment horizontal="center" readingOrder="0" vertical="center"/>
    </xf>
    <xf borderId="1" fillId="8" fontId="11" numFmtId="1" xfId="0" applyAlignment="1" applyBorder="1" applyFont="1" applyNumberFormat="1">
      <alignment horizontal="center" readingOrder="0" vertical="center"/>
    </xf>
    <xf borderId="9" fillId="7" fontId="9" numFmtId="0" xfId="0" applyAlignment="1" applyBorder="1" applyFont="1">
      <alignment vertical="center"/>
    </xf>
    <xf borderId="7" fillId="7" fontId="9" numFmtId="0" xfId="0" applyAlignment="1" applyBorder="1" applyFont="1">
      <alignment vertical="center"/>
    </xf>
    <xf borderId="1" fillId="7" fontId="8" numFmtId="165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shrinkToFit="0" vertical="center" wrapText="0"/>
    </xf>
    <xf borderId="6" fillId="0" fontId="16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readingOrder="0" shrinkToFit="0" vertical="center" wrapText="0"/>
    </xf>
    <xf borderId="6" fillId="0" fontId="16" numFmtId="0" xfId="0" applyAlignment="1" applyBorder="1" applyFont="1">
      <alignment horizontal="center" shrinkToFit="0" vertical="center" wrapText="1"/>
    </xf>
    <xf borderId="1" fillId="8" fontId="13" numFmtId="0" xfId="0" applyAlignment="1" applyBorder="1" applyFont="1">
      <alignment readingOrder="0" vertical="center"/>
    </xf>
    <xf borderId="1" fillId="0" fontId="23" numFmtId="0" xfId="0" applyAlignment="1" applyBorder="1" applyFont="1">
      <alignment readingOrder="0" shrinkToFit="0" vertical="center" wrapText="1"/>
    </xf>
    <xf borderId="1" fillId="8" fontId="11" numFmtId="0" xfId="0" applyAlignment="1" applyBorder="1" applyFont="1">
      <alignment horizontal="center" vertical="center"/>
    </xf>
    <xf borderId="1" fillId="8" fontId="12" numFmtId="0" xfId="0" applyAlignment="1" applyBorder="1" applyFont="1">
      <alignment readingOrder="0" shrinkToFit="0" vertical="center" wrapText="1"/>
    </xf>
    <xf borderId="1" fillId="8" fontId="13" numFmtId="0" xfId="0" applyAlignment="1" applyBorder="1" applyFont="1">
      <alignment horizontal="left" shrinkToFit="0" vertical="center" wrapText="1"/>
    </xf>
    <xf borderId="1" fillId="8" fontId="13" numFmtId="0" xfId="0" applyAlignment="1" applyBorder="1" applyFont="1">
      <alignment shrinkToFit="0" vertical="center" wrapText="1"/>
    </xf>
    <xf borderId="1" fillId="8" fontId="24" numFmtId="0" xfId="0" applyAlignment="1" applyBorder="1" applyFont="1">
      <alignment horizontal="center" readingOrder="0" vertical="center"/>
    </xf>
    <xf borderId="1" fillId="8" fontId="13" numFmtId="0" xfId="0" applyAlignment="1" applyBorder="1" applyFont="1">
      <alignment horizontal="center" vertical="center"/>
    </xf>
    <xf borderId="2" fillId="8" fontId="11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readingOrder="0" shrinkToFit="0" vertical="center" wrapText="0"/>
    </xf>
    <xf borderId="2" fillId="8" fontId="13" numFmtId="0" xfId="0" applyAlignment="1" applyBorder="1" applyFont="1">
      <alignment readingOrder="0" shrinkToFit="0" vertical="center" wrapText="1"/>
    </xf>
    <xf borderId="2" fillId="8" fontId="19" numFmtId="0" xfId="0" applyAlignment="1" applyBorder="1" applyFont="1">
      <alignment horizontal="center" readingOrder="0" vertical="center"/>
    </xf>
    <xf borderId="2" fillId="8" fontId="13" numFmtId="0" xfId="0" applyAlignment="1" applyBorder="1" applyFont="1">
      <alignment horizontal="center" readingOrder="0" vertical="center"/>
    </xf>
    <xf borderId="1" fillId="8" fontId="22" numFmtId="0" xfId="0" applyAlignment="1" applyBorder="1" applyFont="1">
      <alignment readingOrder="0" shrinkToFit="0" vertical="center" wrapText="1"/>
    </xf>
    <xf borderId="1" fillId="8" fontId="25" numFmtId="0" xfId="0" applyAlignment="1" applyBorder="1" applyFont="1">
      <alignment horizontal="center" readingOrder="0" vertical="center"/>
    </xf>
    <xf borderId="1" fillId="8" fontId="21" numFmtId="0" xfId="0" applyAlignment="1" applyBorder="1" applyFont="1">
      <alignment readingOrder="0" shrinkToFit="0" vertical="center" wrapText="1"/>
    </xf>
    <xf borderId="1" fillId="9" fontId="8" numFmtId="0" xfId="0" applyAlignment="1" applyBorder="1" applyFont="1">
      <alignment horizontal="center" readingOrder="0" vertical="center"/>
    </xf>
    <xf borderId="1" fillId="9" fontId="8" numFmtId="1" xfId="0" applyAlignment="1" applyBorder="1" applyFont="1" applyNumberFormat="1">
      <alignment horizontal="center" readingOrder="0" vertical="center"/>
    </xf>
    <xf borderId="1" fillId="9" fontId="8" numFmtId="165" xfId="0" applyAlignment="1" applyBorder="1" applyFont="1" applyNumberFormat="1">
      <alignment horizontal="center" readingOrder="0" vertical="center"/>
    </xf>
    <xf borderId="1" fillId="8" fontId="19" numFmtId="1" xfId="0" applyAlignment="1" applyBorder="1" applyFont="1" applyNumberFormat="1">
      <alignment horizontal="center" readingOrder="0" vertical="center"/>
    </xf>
    <xf borderId="2" fillId="8" fontId="13" numFmtId="0" xfId="0" applyAlignment="1" applyBorder="1" applyFont="1">
      <alignment horizontal="left" readingOrder="0" shrinkToFit="0" vertical="center" wrapText="1"/>
    </xf>
    <xf borderId="1" fillId="8" fontId="11" numFmtId="0" xfId="0" applyAlignment="1" applyBorder="1" applyFont="1">
      <alignment readingOrder="0" shrinkToFit="0" vertical="center" wrapText="1"/>
    </xf>
    <xf borderId="1" fillId="8" fontId="11" numFmtId="1" xfId="0" applyAlignment="1" applyBorder="1" applyFont="1" applyNumberFormat="1">
      <alignment horizontal="center" readingOrder="0" shrinkToFit="0" vertical="center" wrapText="0"/>
    </xf>
    <xf borderId="1" fillId="8" fontId="10" numFmtId="0" xfId="0" applyAlignment="1" applyBorder="1" applyFont="1">
      <alignment readingOrder="0" shrinkToFit="0" vertical="center" wrapText="1"/>
    </xf>
    <xf borderId="1" fillId="8" fontId="10" numFmtId="1" xfId="0" applyAlignment="1" applyBorder="1" applyFont="1" applyNumberFormat="1">
      <alignment horizontal="center" readingOrder="0" vertical="center"/>
    </xf>
    <xf borderId="1" fillId="8" fontId="26" numFmtId="0" xfId="0" applyAlignment="1" applyBorder="1" applyFont="1">
      <alignment horizontal="left" readingOrder="0" shrinkToFit="0" vertical="center" wrapText="1"/>
    </xf>
    <xf borderId="1" fillId="8" fontId="25" numFmtId="0" xfId="0" applyAlignment="1" applyBorder="1" applyFont="1">
      <alignment horizontal="center" readingOrder="0" vertical="center"/>
    </xf>
    <xf borderId="1" fillId="8" fontId="21" numFmtId="0" xfId="0" applyAlignment="1" applyBorder="1" applyFont="1">
      <alignment readingOrder="0" shrinkToFit="0" vertical="center" wrapText="1"/>
    </xf>
    <xf borderId="1" fillId="8" fontId="21" numFmtId="1" xfId="0" applyAlignment="1" applyBorder="1" applyFont="1" applyNumberFormat="1">
      <alignment horizontal="center" readingOrder="0" vertical="center"/>
    </xf>
    <xf borderId="1" fillId="8" fontId="21" numFmtId="0" xfId="0" applyAlignment="1" applyBorder="1" applyFont="1">
      <alignment horizontal="center" readingOrder="0" vertical="center"/>
    </xf>
    <xf borderId="1" fillId="9" fontId="15" numFmtId="165" xfId="0" applyAlignment="1" applyBorder="1" applyFont="1" applyNumberFormat="1">
      <alignment horizontal="center" readingOrder="0" vertical="center"/>
    </xf>
    <xf borderId="1" fillId="8" fontId="27" numFmtId="0" xfId="0" applyAlignment="1" applyBorder="1" applyFont="1">
      <alignment horizontal="center" readingOrder="0" vertical="center"/>
    </xf>
    <xf borderId="1" fillId="8" fontId="22" numFmtId="1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1552575" cy="5334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1.63"/>
    <col customWidth="1" min="2" max="2" width="19.5"/>
    <col customWidth="1" min="3" max="3" width="47.13"/>
    <col customWidth="1" min="4" max="4" width="36.25"/>
    <col customWidth="1" min="5" max="5" width="8.5"/>
    <col customWidth="1" min="6" max="6" width="6.0"/>
    <col customWidth="1" min="7" max="7" width="4.0"/>
    <col customWidth="1" min="8" max="8" width="12.5"/>
    <col customWidth="1" min="9" max="9" width="14.88"/>
    <col customWidth="1" min="12" max="12" width="11.25"/>
    <col customWidth="1" min="13" max="13" width="12.75"/>
    <col customWidth="1" min="14" max="14" width="10.88"/>
    <col customWidth="1" min="15" max="15" width="17.63"/>
    <col customWidth="1" min="16" max="16" width="10.13"/>
  </cols>
  <sheetData>
    <row r="1">
      <c r="A1" s="1"/>
      <c r="B1" s="2"/>
      <c r="C1" s="3" t="s">
        <v>0</v>
      </c>
      <c r="D1" s="4" t="s">
        <v>1</v>
      </c>
      <c r="E1" s="5" t="s">
        <v>2</v>
      </c>
    </row>
    <row r="2">
      <c r="A2" s="1"/>
      <c r="B2" s="2"/>
      <c r="D2" s="6" t="s">
        <v>3</v>
      </c>
    </row>
    <row r="3">
      <c r="A3" s="1"/>
      <c r="B3" s="2"/>
      <c r="D3" s="4" t="s">
        <v>4</v>
      </c>
    </row>
    <row r="4">
      <c r="A4" s="7" t="s">
        <v>5</v>
      </c>
      <c r="B4" s="8" t="s">
        <v>6</v>
      </c>
      <c r="C4" s="9" t="s">
        <v>7</v>
      </c>
      <c r="D4" s="9" t="s">
        <v>8</v>
      </c>
      <c r="E4" s="7" t="s">
        <v>9</v>
      </c>
      <c r="F4" s="10" t="s">
        <v>10</v>
      </c>
      <c r="G4" s="11" t="s">
        <v>11</v>
      </c>
      <c r="H4" s="12" t="s">
        <v>12</v>
      </c>
      <c r="I4" s="13" t="s">
        <v>13</v>
      </c>
      <c r="J4" s="14" t="s">
        <v>14</v>
      </c>
      <c r="K4" s="15" t="s">
        <v>15</v>
      </c>
      <c r="L4" s="16" t="s">
        <v>16</v>
      </c>
      <c r="M4" s="16" t="s">
        <v>17</v>
      </c>
      <c r="N4" s="16" t="s">
        <v>18</v>
      </c>
      <c r="O4" s="17" t="s">
        <v>19</v>
      </c>
      <c r="P4" s="17" t="s">
        <v>20</v>
      </c>
      <c r="Q4" s="17" t="s">
        <v>21</v>
      </c>
      <c r="R4" s="17" t="s">
        <v>22</v>
      </c>
    </row>
    <row r="5">
      <c r="A5" s="18"/>
      <c r="B5" s="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>
      <c r="A6" s="19"/>
      <c r="B6" s="20"/>
      <c r="C6" s="21"/>
      <c r="D6" s="22"/>
      <c r="E6" s="23"/>
      <c r="F6" s="23"/>
      <c r="G6" s="24"/>
      <c r="H6" s="23"/>
      <c r="I6" s="23"/>
      <c r="J6" s="25"/>
      <c r="K6" s="23"/>
      <c r="L6" s="23"/>
      <c r="M6" s="23"/>
      <c r="N6" s="23"/>
      <c r="O6" s="23"/>
      <c r="P6" s="26"/>
      <c r="Q6" s="27"/>
      <c r="R6" s="28"/>
    </row>
    <row r="7">
      <c r="A7" s="29" t="s">
        <v>23</v>
      </c>
      <c r="B7" s="30" t="s">
        <v>24</v>
      </c>
      <c r="C7" s="31" t="s">
        <v>25</v>
      </c>
      <c r="D7" s="31" t="s">
        <v>25</v>
      </c>
      <c r="E7" s="32">
        <v>150.0</v>
      </c>
      <c r="F7" s="32" t="s">
        <v>26</v>
      </c>
      <c r="G7" s="32" t="s">
        <v>27</v>
      </c>
      <c r="H7" s="33">
        <v>150.0</v>
      </c>
      <c r="I7" s="34">
        <v>1.710004644E9</v>
      </c>
      <c r="J7" s="35">
        <v>46059.0</v>
      </c>
      <c r="K7" s="34" t="s">
        <v>28</v>
      </c>
      <c r="L7" s="36"/>
      <c r="M7" s="36" t="str">
        <f t="shared" ref="M7:M19" si="1">IF(LEN(L7)=10,"SUDAH PO",IF(L7="STOK","READY STOK",IF(L7="PL","READY STOK","BELUM PO")))</f>
        <v>BELUM PO</v>
      </c>
      <c r="N7" s="37"/>
      <c r="O7" s="38" t="str">
        <f t="shared" ref="O7:O19" si="2">IF(H7="STOK","STOK",IF(ISBLANK(P7),"BELUM DATANG",IF(R7=0,"CLOSE","DATANG SEBAGIAN")))</f>
        <v>BELUM DATANG</v>
      </c>
      <c r="P7" s="37"/>
      <c r="Q7" s="37"/>
      <c r="R7" s="37">
        <f t="shared" ref="R7:R19" si="3">Q7-H7</f>
        <v>-150</v>
      </c>
    </row>
    <row r="8">
      <c r="A8" s="29" t="s">
        <v>23</v>
      </c>
      <c r="B8" s="30" t="s">
        <v>24</v>
      </c>
      <c r="C8" s="31" t="s">
        <v>25</v>
      </c>
      <c r="D8" s="31" t="s">
        <v>25</v>
      </c>
      <c r="E8" s="32">
        <v>150.0</v>
      </c>
      <c r="F8" s="32" t="s">
        <v>26</v>
      </c>
      <c r="G8" s="32" t="s">
        <v>27</v>
      </c>
      <c r="H8" s="33">
        <v>150.0</v>
      </c>
      <c r="I8" s="34">
        <v>1.710004644E9</v>
      </c>
      <c r="J8" s="35">
        <v>46059.0</v>
      </c>
      <c r="K8" s="34" t="s">
        <v>28</v>
      </c>
      <c r="L8" s="36"/>
      <c r="M8" s="36" t="str">
        <f t="shared" si="1"/>
        <v>BELUM PO</v>
      </c>
      <c r="N8" s="37"/>
      <c r="O8" s="38" t="str">
        <f t="shared" si="2"/>
        <v>BELUM DATANG</v>
      </c>
      <c r="P8" s="37"/>
      <c r="Q8" s="37"/>
      <c r="R8" s="37">
        <f t="shared" si="3"/>
        <v>-150</v>
      </c>
    </row>
    <row r="9">
      <c r="A9" s="29" t="s">
        <v>23</v>
      </c>
      <c r="B9" s="30" t="s">
        <v>29</v>
      </c>
      <c r="C9" s="31" t="s">
        <v>25</v>
      </c>
      <c r="D9" s="31" t="s">
        <v>25</v>
      </c>
      <c r="E9" s="32">
        <v>35.0</v>
      </c>
      <c r="F9" s="32" t="s">
        <v>26</v>
      </c>
      <c r="G9" s="32" t="s">
        <v>27</v>
      </c>
      <c r="H9" s="33">
        <v>35.0</v>
      </c>
      <c r="I9" s="34">
        <v>1.710004644E9</v>
      </c>
      <c r="J9" s="35">
        <v>46059.0</v>
      </c>
      <c r="K9" s="34" t="s">
        <v>28</v>
      </c>
      <c r="L9" s="36"/>
      <c r="M9" s="36" t="str">
        <f t="shared" si="1"/>
        <v>BELUM PO</v>
      </c>
      <c r="N9" s="37"/>
      <c r="O9" s="38" t="str">
        <f t="shared" si="2"/>
        <v>BELUM DATANG</v>
      </c>
      <c r="P9" s="37"/>
      <c r="Q9" s="37"/>
      <c r="R9" s="37">
        <f t="shared" si="3"/>
        <v>-35</v>
      </c>
    </row>
    <row r="10">
      <c r="A10" s="29" t="s">
        <v>23</v>
      </c>
      <c r="B10" s="30" t="s">
        <v>29</v>
      </c>
      <c r="C10" s="31" t="s">
        <v>25</v>
      </c>
      <c r="D10" s="31" t="s">
        <v>25</v>
      </c>
      <c r="E10" s="32">
        <v>35.0</v>
      </c>
      <c r="F10" s="32" t="s">
        <v>26</v>
      </c>
      <c r="G10" s="32" t="s">
        <v>27</v>
      </c>
      <c r="H10" s="33">
        <v>35.0</v>
      </c>
      <c r="I10" s="34">
        <v>1.710004644E9</v>
      </c>
      <c r="J10" s="35">
        <v>46059.0</v>
      </c>
      <c r="K10" s="34" t="s">
        <v>28</v>
      </c>
      <c r="L10" s="36"/>
      <c r="M10" s="36" t="str">
        <f t="shared" si="1"/>
        <v>BELUM PO</v>
      </c>
      <c r="N10" s="37"/>
      <c r="O10" s="38" t="str">
        <f t="shared" si="2"/>
        <v>BELUM DATANG</v>
      </c>
      <c r="P10" s="37"/>
      <c r="Q10" s="37"/>
      <c r="R10" s="37">
        <f t="shared" si="3"/>
        <v>-35</v>
      </c>
    </row>
    <row r="11">
      <c r="A11" s="39" t="s">
        <v>23</v>
      </c>
      <c r="B11" s="30" t="s">
        <v>30</v>
      </c>
      <c r="C11" s="31" t="s">
        <v>25</v>
      </c>
      <c r="D11" s="31" t="s">
        <v>25</v>
      </c>
      <c r="E11" s="40">
        <v>35.0</v>
      </c>
      <c r="F11" s="40" t="s">
        <v>26</v>
      </c>
      <c r="G11" s="40" t="s">
        <v>27</v>
      </c>
      <c r="H11" s="33">
        <v>35.0</v>
      </c>
      <c r="I11" s="34">
        <v>1.710004644E9</v>
      </c>
      <c r="J11" s="35">
        <v>46059.0</v>
      </c>
      <c r="K11" s="34" t="s">
        <v>28</v>
      </c>
      <c r="L11" s="36"/>
      <c r="M11" s="36" t="str">
        <f t="shared" si="1"/>
        <v>BELUM PO</v>
      </c>
      <c r="N11" s="37"/>
      <c r="O11" s="38" t="str">
        <f t="shared" si="2"/>
        <v>BELUM DATANG</v>
      </c>
      <c r="P11" s="37"/>
      <c r="Q11" s="37"/>
      <c r="R11" s="37">
        <f t="shared" si="3"/>
        <v>-35</v>
      </c>
    </row>
    <row r="12">
      <c r="A12" s="29" t="s">
        <v>23</v>
      </c>
      <c r="B12" s="30" t="s">
        <v>30</v>
      </c>
      <c r="C12" s="31" t="s">
        <v>25</v>
      </c>
      <c r="D12" s="31" t="s">
        <v>25</v>
      </c>
      <c r="E12" s="32">
        <v>35.0</v>
      </c>
      <c r="F12" s="32" t="s">
        <v>26</v>
      </c>
      <c r="G12" s="32" t="s">
        <v>27</v>
      </c>
      <c r="H12" s="33">
        <v>35.0</v>
      </c>
      <c r="I12" s="34">
        <v>1.710004644E9</v>
      </c>
      <c r="J12" s="35">
        <v>46059.0</v>
      </c>
      <c r="K12" s="34" t="s">
        <v>28</v>
      </c>
      <c r="L12" s="36"/>
      <c r="M12" s="36" t="str">
        <f t="shared" si="1"/>
        <v>BELUM PO</v>
      </c>
      <c r="N12" s="37"/>
      <c r="O12" s="38" t="str">
        <f t="shared" si="2"/>
        <v>BELUM DATANG</v>
      </c>
      <c r="P12" s="37"/>
      <c r="Q12" s="37"/>
      <c r="R12" s="37">
        <f t="shared" si="3"/>
        <v>-35</v>
      </c>
    </row>
    <row r="13">
      <c r="A13" s="29" t="s">
        <v>23</v>
      </c>
      <c r="B13" s="30" t="s">
        <v>31</v>
      </c>
      <c r="C13" s="31" t="s">
        <v>25</v>
      </c>
      <c r="D13" s="31" t="s">
        <v>25</v>
      </c>
      <c r="E13" s="32">
        <v>10.0</v>
      </c>
      <c r="F13" s="32" t="s">
        <v>26</v>
      </c>
      <c r="G13" s="32" t="s">
        <v>27</v>
      </c>
      <c r="H13" s="33">
        <v>10.0</v>
      </c>
      <c r="I13" s="34">
        <v>1.710004644E9</v>
      </c>
      <c r="J13" s="35">
        <v>46059.0</v>
      </c>
      <c r="K13" s="34" t="s">
        <v>28</v>
      </c>
      <c r="L13" s="36"/>
      <c r="M13" s="36" t="str">
        <f t="shared" si="1"/>
        <v>BELUM PO</v>
      </c>
      <c r="N13" s="37"/>
      <c r="O13" s="38" t="str">
        <f t="shared" si="2"/>
        <v>BELUM DATANG</v>
      </c>
      <c r="P13" s="37"/>
      <c r="Q13" s="37"/>
      <c r="R13" s="37">
        <f t="shared" si="3"/>
        <v>-10</v>
      </c>
    </row>
    <row r="14">
      <c r="A14" s="29" t="s">
        <v>23</v>
      </c>
      <c r="B14" s="30" t="s">
        <v>32</v>
      </c>
      <c r="C14" s="31" t="s">
        <v>25</v>
      </c>
      <c r="D14" s="31" t="s">
        <v>25</v>
      </c>
      <c r="E14" s="32">
        <v>10.0</v>
      </c>
      <c r="F14" s="32" t="s">
        <v>26</v>
      </c>
      <c r="G14" s="32" t="s">
        <v>27</v>
      </c>
      <c r="H14" s="33">
        <v>10.0</v>
      </c>
      <c r="I14" s="34">
        <v>1.710004644E9</v>
      </c>
      <c r="J14" s="35">
        <v>46059.0</v>
      </c>
      <c r="K14" s="34" t="s">
        <v>28</v>
      </c>
      <c r="L14" s="36"/>
      <c r="M14" s="36" t="str">
        <f t="shared" si="1"/>
        <v>BELUM PO</v>
      </c>
      <c r="N14" s="37"/>
      <c r="O14" s="38" t="str">
        <f t="shared" si="2"/>
        <v>BELUM DATANG</v>
      </c>
      <c r="P14" s="37"/>
      <c r="Q14" s="37"/>
      <c r="R14" s="37">
        <f t="shared" si="3"/>
        <v>-10</v>
      </c>
    </row>
    <row r="15">
      <c r="A15" s="29" t="s">
        <v>23</v>
      </c>
      <c r="B15" s="30" t="s">
        <v>33</v>
      </c>
      <c r="C15" s="31" t="s">
        <v>25</v>
      </c>
      <c r="D15" s="31" t="s">
        <v>25</v>
      </c>
      <c r="E15" s="32">
        <v>10.0</v>
      </c>
      <c r="F15" s="32" t="s">
        <v>26</v>
      </c>
      <c r="G15" s="32" t="s">
        <v>27</v>
      </c>
      <c r="H15" s="33">
        <v>10.0</v>
      </c>
      <c r="I15" s="34">
        <v>1.710004644E9</v>
      </c>
      <c r="J15" s="35">
        <v>46059.0</v>
      </c>
      <c r="K15" s="34" t="s">
        <v>28</v>
      </c>
      <c r="L15" s="36"/>
      <c r="M15" s="36" t="str">
        <f t="shared" si="1"/>
        <v>BELUM PO</v>
      </c>
      <c r="N15" s="37"/>
      <c r="O15" s="38" t="str">
        <f t="shared" si="2"/>
        <v>BELUM DATANG</v>
      </c>
      <c r="P15" s="37"/>
      <c r="Q15" s="37"/>
      <c r="R15" s="37">
        <f t="shared" si="3"/>
        <v>-10</v>
      </c>
    </row>
    <row r="16">
      <c r="A16" s="29" t="s">
        <v>23</v>
      </c>
      <c r="B16" s="30" t="s">
        <v>34</v>
      </c>
      <c r="C16" s="31" t="s">
        <v>25</v>
      </c>
      <c r="D16" s="31" t="s">
        <v>25</v>
      </c>
      <c r="E16" s="32">
        <v>20.0</v>
      </c>
      <c r="F16" s="32" t="s">
        <v>26</v>
      </c>
      <c r="G16" s="32" t="s">
        <v>27</v>
      </c>
      <c r="H16" s="33">
        <v>20.0</v>
      </c>
      <c r="I16" s="34">
        <v>1.710004644E9</v>
      </c>
      <c r="J16" s="35">
        <v>46059.0</v>
      </c>
      <c r="K16" s="34" t="s">
        <v>28</v>
      </c>
      <c r="L16" s="36"/>
      <c r="M16" s="36" t="str">
        <f t="shared" si="1"/>
        <v>BELUM PO</v>
      </c>
      <c r="N16" s="37"/>
      <c r="O16" s="38" t="str">
        <f t="shared" si="2"/>
        <v>BELUM DATANG</v>
      </c>
      <c r="P16" s="37"/>
      <c r="Q16" s="37"/>
      <c r="R16" s="37">
        <f t="shared" si="3"/>
        <v>-20</v>
      </c>
    </row>
    <row r="17">
      <c r="A17" s="29" t="s">
        <v>23</v>
      </c>
      <c r="B17" s="30" t="s">
        <v>35</v>
      </c>
      <c r="C17" s="31" t="s">
        <v>25</v>
      </c>
      <c r="D17" s="31" t="s">
        <v>25</v>
      </c>
      <c r="E17" s="32">
        <v>15.0</v>
      </c>
      <c r="F17" s="32" t="s">
        <v>26</v>
      </c>
      <c r="G17" s="32" t="s">
        <v>27</v>
      </c>
      <c r="H17" s="33">
        <v>15.0</v>
      </c>
      <c r="I17" s="34">
        <v>1.710004644E9</v>
      </c>
      <c r="J17" s="35">
        <v>46059.0</v>
      </c>
      <c r="K17" s="34" t="s">
        <v>28</v>
      </c>
      <c r="L17" s="36"/>
      <c r="M17" s="36" t="str">
        <f t="shared" si="1"/>
        <v>BELUM PO</v>
      </c>
      <c r="N17" s="37"/>
      <c r="O17" s="38" t="str">
        <f t="shared" si="2"/>
        <v>BELUM DATANG</v>
      </c>
      <c r="P17" s="37"/>
      <c r="Q17" s="37"/>
      <c r="R17" s="37">
        <f t="shared" si="3"/>
        <v>-15</v>
      </c>
    </row>
    <row r="18">
      <c r="A18" s="29" t="s">
        <v>23</v>
      </c>
      <c r="B18" s="30" t="s">
        <v>36</v>
      </c>
      <c r="C18" s="31" t="s">
        <v>25</v>
      </c>
      <c r="D18" s="31" t="s">
        <v>25</v>
      </c>
      <c r="E18" s="32">
        <v>15.0</v>
      </c>
      <c r="F18" s="32" t="s">
        <v>26</v>
      </c>
      <c r="G18" s="32" t="s">
        <v>27</v>
      </c>
      <c r="H18" s="33">
        <v>15.0</v>
      </c>
      <c r="I18" s="34">
        <v>1.710004644E9</v>
      </c>
      <c r="J18" s="35">
        <v>46059.0</v>
      </c>
      <c r="K18" s="34" t="s">
        <v>28</v>
      </c>
      <c r="L18" s="36"/>
      <c r="M18" s="36" t="str">
        <f t="shared" si="1"/>
        <v>BELUM PO</v>
      </c>
      <c r="N18" s="37"/>
      <c r="O18" s="38" t="str">
        <f t="shared" si="2"/>
        <v>BELUM DATANG</v>
      </c>
      <c r="P18" s="37"/>
      <c r="Q18" s="37"/>
      <c r="R18" s="37">
        <f t="shared" si="3"/>
        <v>-15</v>
      </c>
    </row>
    <row r="19">
      <c r="A19" s="29" t="s">
        <v>23</v>
      </c>
      <c r="B19" s="30" t="s">
        <v>36</v>
      </c>
      <c r="C19" s="31" t="s">
        <v>25</v>
      </c>
      <c r="D19" s="31" t="s">
        <v>25</v>
      </c>
      <c r="E19" s="32">
        <v>15.0</v>
      </c>
      <c r="F19" s="32" t="s">
        <v>26</v>
      </c>
      <c r="G19" s="32" t="s">
        <v>27</v>
      </c>
      <c r="H19" s="33">
        <v>15.0</v>
      </c>
      <c r="I19" s="34">
        <v>1.710004644E9</v>
      </c>
      <c r="J19" s="35">
        <v>46059.0</v>
      </c>
      <c r="K19" s="34" t="s">
        <v>28</v>
      </c>
      <c r="L19" s="36"/>
      <c r="M19" s="36" t="str">
        <f t="shared" si="1"/>
        <v>BELUM PO</v>
      </c>
      <c r="N19" s="37"/>
      <c r="O19" s="38" t="str">
        <f t="shared" si="2"/>
        <v>BELUM DATANG</v>
      </c>
      <c r="P19" s="37"/>
      <c r="Q19" s="37"/>
      <c r="R19" s="37">
        <f t="shared" si="3"/>
        <v>-15</v>
      </c>
    </row>
    <row r="20">
      <c r="A20" s="41"/>
      <c r="B20" s="42"/>
      <c r="C20" s="42"/>
      <c r="D20" s="42"/>
      <c r="E20" s="42"/>
      <c r="F20" s="42"/>
      <c r="G20" s="43"/>
      <c r="H20" s="44"/>
      <c r="I20" s="44"/>
      <c r="J20" s="24"/>
      <c r="K20" s="24"/>
      <c r="L20" s="25"/>
      <c r="M20" s="25"/>
      <c r="N20" s="44"/>
      <c r="O20" s="45"/>
      <c r="P20" s="44"/>
      <c r="Q20" s="44"/>
      <c r="R20" s="44"/>
    </row>
    <row r="21">
      <c r="A21" s="46"/>
      <c r="B21" s="30" t="s">
        <v>37</v>
      </c>
      <c r="C21" s="47" t="s">
        <v>38</v>
      </c>
      <c r="D21" s="48" t="s">
        <v>39</v>
      </c>
      <c r="E21" s="38">
        <v>1.0</v>
      </c>
      <c r="F21" s="38" t="s">
        <v>40</v>
      </c>
      <c r="G21" s="37"/>
      <c r="H21" s="49"/>
      <c r="I21" s="49"/>
      <c r="J21" s="49"/>
      <c r="K21" s="50"/>
      <c r="L21" s="51"/>
      <c r="M21" s="51"/>
      <c r="N21" s="49"/>
      <c r="O21" s="52"/>
      <c r="P21" s="49"/>
      <c r="Q21" s="37"/>
      <c r="R21" s="37">
        <f t="shared" ref="R21:R38" si="4">Q21-H21</f>
        <v>0</v>
      </c>
    </row>
    <row r="22">
      <c r="A22" s="38" t="s">
        <v>41</v>
      </c>
      <c r="B22" s="30" t="s">
        <v>37</v>
      </c>
      <c r="C22" s="48" t="s">
        <v>42</v>
      </c>
      <c r="D22" s="48" t="s">
        <v>43</v>
      </c>
      <c r="E22" s="37">
        <v>6.0</v>
      </c>
      <c r="F22" s="37" t="s">
        <v>44</v>
      </c>
      <c r="G22" s="33" t="s">
        <v>27</v>
      </c>
      <c r="H22" s="37">
        <v>6.0</v>
      </c>
      <c r="I22" s="53">
        <v>1.710004543E9</v>
      </c>
      <c r="J22" s="54" t="s">
        <v>45</v>
      </c>
      <c r="K22" s="55">
        <v>46331.0</v>
      </c>
      <c r="L22" s="36">
        <v>7.100003897E9</v>
      </c>
      <c r="M22" s="36" t="str">
        <f t="shared" ref="M22:M44" si="5">IF(LEN(L22)=10,"SUDAH PO",IF(L22="STOK","READY STOK",IF(L22="PL","READY STOK","BELUM PO")))</f>
        <v>SUDAH PO</v>
      </c>
      <c r="N22" s="37" t="s">
        <v>46</v>
      </c>
      <c r="O22" s="38" t="str">
        <f t="shared" ref="O22:O44" si="6">IF(H22="STOK","STOK",IF(ISBLANK(P22),"BELUM DATANG",IF(R22=0,"CLOSE","DATANG SEBAGIAN")))</f>
        <v>CLOSE</v>
      </c>
      <c r="P22" s="56">
        <v>46118.0</v>
      </c>
      <c r="Q22" s="33">
        <v>6.0</v>
      </c>
      <c r="R22" s="37">
        <f t="shared" si="4"/>
        <v>0</v>
      </c>
    </row>
    <row r="23">
      <c r="A23" s="38" t="s">
        <v>47</v>
      </c>
      <c r="B23" s="30" t="s">
        <v>37</v>
      </c>
      <c r="C23" s="48" t="s">
        <v>42</v>
      </c>
      <c r="D23" s="48" t="s">
        <v>48</v>
      </c>
      <c r="E23" s="32">
        <v>6.0</v>
      </c>
      <c r="F23" s="37" t="s">
        <v>44</v>
      </c>
      <c r="G23" s="32" t="s">
        <v>27</v>
      </c>
      <c r="H23" s="37">
        <v>6.0</v>
      </c>
      <c r="I23" s="53">
        <v>1.710004543E9</v>
      </c>
      <c r="J23" s="55" t="s">
        <v>45</v>
      </c>
      <c r="K23" s="35">
        <v>45966.0</v>
      </c>
      <c r="L23" s="36">
        <v>7.100003897E9</v>
      </c>
      <c r="M23" s="36" t="str">
        <f t="shared" si="5"/>
        <v>SUDAH PO</v>
      </c>
      <c r="N23" s="56">
        <v>46331.0</v>
      </c>
      <c r="O23" s="57" t="str">
        <f t="shared" si="6"/>
        <v>CLOSE</v>
      </c>
      <c r="P23" s="56">
        <v>46118.0</v>
      </c>
      <c r="Q23" s="33">
        <v>6.0</v>
      </c>
      <c r="R23" s="37">
        <f t="shared" si="4"/>
        <v>0</v>
      </c>
    </row>
    <row r="24">
      <c r="A24" s="38" t="s">
        <v>49</v>
      </c>
      <c r="B24" s="30" t="s">
        <v>37</v>
      </c>
      <c r="C24" s="48" t="s">
        <v>50</v>
      </c>
      <c r="D24" s="48" t="s">
        <v>43</v>
      </c>
      <c r="E24" s="38">
        <v>12.0</v>
      </c>
      <c r="F24" s="37" t="s">
        <v>44</v>
      </c>
      <c r="G24" s="33" t="s">
        <v>27</v>
      </c>
      <c r="H24" s="37">
        <v>12.0</v>
      </c>
      <c r="I24" s="53">
        <v>1.710004543E9</v>
      </c>
      <c r="J24" s="58" t="s">
        <v>45</v>
      </c>
      <c r="K24" s="55">
        <v>46331.0</v>
      </c>
      <c r="L24" s="36">
        <v>7.100003897E9</v>
      </c>
      <c r="M24" s="36" t="str">
        <f t="shared" si="5"/>
        <v>SUDAH PO</v>
      </c>
      <c r="N24" s="37" t="s">
        <v>46</v>
      </c>
      <c r="O24" s="38" t="str">
        <f t="shared" si="6"/>
        <v>CLOSE</v>
      </c>
      <c r="P24" s="56">
        <v>46118.0</v>
      </c>
      <c r="Q24" s="33">
        <v>12.0</v>
      </c>
      <c r="R24" s="37">
        <f t="shared" si="4"/>
        <v>0</v>
      </c>
    </row>
    <row r="25">
      <c r="A25" s="38" t="s">
        <v>51</v>
      </c>
      <c r="B25" s="30" t="s">
        <v>37</v>
      </c>
      <c r="C25" s="48" t="s">
        <v>50</v>
      </c>
      <c r="D25" s="48" t="s">
        <v>48</v>
      </c>
      <c r="E25" s="59">
        <v>19.0</v>
      </c>
      <c r="F25" s="37" t="s">
        <v>44</v>
      </c>
      <c r="G25" s="32" t="s">
        <v>27</v>
      </c>
      <c r="H25" s="33">
        <v>19.0</v>
      </c>
      <c r="I25" s="53">
        <v>1.710004543E9</v>
      </c>
      <c r="J25" s="58" t="s">
        <v>45</v>
      </c>
      <c r="K25" s="35">
        <v>45966.0</v>
      </c>
      <c r="L25" s="36">
        <v>7.100003897E9</v>
      </c>
      <c r="M25" s="36" t="str">
        <f t="shared" si="5"/>
        <v>SUDAH PO</v>
      </c>
      <c r="N25" s="56">
        <v>46331.0</v>
      </c>
      <c r="O25" s="57" t="str">
        <f t="shared" si="6"/>
        <v>CLOSE</v>
      </c>
      <c r="P25" s="56">
        <v>46118.0</v>
      </c>
      <c r="Q25" s="33">
        <v>19.0</v>
      </c>
      <c r="R25" s="37">
        <f t="shared" si="4"/>
        <v>0</v>
      </c>
    </row>
    <row r="26">
      <c r="A26" s="38" t="s">
        <v>52</v>
      </c>
      <c r="B26" s="30" t="s">
        <v>37</v>
      </c>
      <c r="C26" s="48" t="s">
        <v>53</v>
      </c>
      <c r="D26" s="48" t="s">
        <v>54</v>
      </c>
      <c r="E26" s="38">
        <v>28.0</v>
      </c>
      <c r="F26" s="38" t="s">
        <v>10</v>
      </c>
      <c r="G26" s="37"/>
      <c r="H26" s="37">
        <v>28.0</v>
      </c>
      <c r="I26" s="53">
        <v>1.710004599E9</v>
      </c>
      <c r="J26" s="58" t="s">
        <v>55</v>
      </c>
      <c r="K26" s="58" t="s">
        <v>56</v>
      </c>
      <c r="L26" s="36"/>
      <c r="M26" s="36" t="str">
        <f t="shared" si="5"/>
        <v>BELUM PO</v>
      </c>
      <c r="N26" s="37"/>
      <c r="O26" s="57" t="str">
        <f t="shared" si="6"/>
        <v>BELUM DATANG</v>
      </c>
      <c r="P26" s="37"/>
      <c r="Q26" s="37"/>
      <c r="R26" s="37">
        <f t="shared" si="4"/>
        <v>-28</v>
      </c>
    </row>
    <row r="27">
      <c r="A27" s="33" t="s">
        <v>57</v>
      </c>
      <c r="B27" s="30" t="s">
        <v>37</v>
      </c>
      <c r="C27" s="48" t="s">
        <v>53</v>
      </c>
      <c r="D27" s="48" t="s">
        <v>58</v>
      </c>
      <c r="E27" s="38">
        <v>93.0</v>
      </c>
      <c r="F27" s="38" t="s">
        <v>10</v>
      </c>
      <c r="G27" s="37"/>
      <c r="H27" s="53">
        <v>93.0</v>
      </c>
      <c r="I27" s="53">
        <v>1.710004599E9</v>
      </c>
      <c r="J27" s="58" t="s">
        <v>55</v>
      </c>
      <c r="K27" s="35">
        <v>46301.0</v>
      </c>
      <c r="L27" s="33">
        <v>7.100003986E9</v>
      </c>
      <c r="M27" s="36" t="str">
        <f t="shared" si="5"/>
        <v>SUDAH PO</v>
      </c>
      <c r="N27" s="37"/>
      <c r="O27" s="57" t="str">
        <f t="shared" si="6"/>
        <v>BELUM DATANG</v>
      </c>
      <c r="P27" s="37"/>
      <c r="Q27" s="37"/>
      <c r="R27" s="37">
        <f t="shared" si="4"/>
        <v>-93</v>
      </c>
    </row>
    <row r="28">
      <c r="A28" s="38" t="s">
        <v>59</v>
      </c>
      <c r="B28" s="30" t="s">
        <v>37</v>
      </c>
      <c r="C28" s="48" t="s">
        <v>53</v>
      </c>
      <c r="D28" s="48" t="s">
        <v>60</v>
      </c>
      <c r="E28" s="33">
        <v>33.0</v>
      </c>
      <c r="F28" s="38" t="s">
        <v>10</v>
      </c>
      <c r="G28" s="33" t="s">
        <v>27</v>
      </c>
      <c r="H28" s="33">
        <v>33.0</v>
      </c>
      <c r="I28" s="53">
        <v>1.710004599E9</v>
      </c>
      <c r="J28" s="58" t="s">
        <v>55</v>
      </c>
      <c r="K28" s="35">
        <v>46301.0</v>
      </c>
      <c r="L28" s="36"/>
      <c r="M28" s="36" t="str">
        <f t="shared" si="5"/>
        <v>BELUM PO</v>
      </c>
      <c r="N28" s="37"/>
      <c r="O28" s="57" t="str">
        <f t="shared" si="6"/>
        <v>BELUM DATANG</v>
      </c>
      <c r="P28" s="37"/>
      <c r="Q28" s="37"/>
      <c r="R28" s="37">
        <f t="shared" si="4"/>
        <v>-33</v>
      </c>
    </row>
    <row r="29">
      <c r="A29" s="38" t="s">
        <v>61</v>
      </c>
      <c r="B29" s="30" t="s">
        <v>37</v>
      </c>
      <c r="C29" s="48" t="s">
        <v>62</v>
      </c>
      <c r="D29" s="48" t="s">
        <v>63</v>
      </c>
      <c r="E29" s="60">
        <v>17.0</v>
      </c>
      <c r="F29" s="38" t="s">
        <v>10</v>
      </c>
      <c r="G29" s="32" t="s">
        <v>27</v>
      </c>
      <c r="H29" s="37">
        <v>15.0</v>
      </c>
      <c r="I29" s="53">
        <v>1.710004543E9</v>
      </c>
      <c r="J29" s="54" t="s">
        <v>45</v>
      </c>
      <c r="K29" s="61">
        <v>46331.0</v>
      </c>
      <c r="L29" s="36">
        <v>7.1000039E9</v>
      </c>
      <c r="M29" s="36" t="str">
        <f t="shared" si="5"/>
        <v>SUDAH PO</v>
      </c>
      <c r="N29" s="33" t="s">
        <v>55</v>
      </c>
      <c r="O29" s="57" t="str">
        <f t="shared" si="6"/>
        <v>CLOSE</v>
      </c>
      <c r="P29" s="33" t="s">
        <v>64</v>
      </c>
      <c r="Q29" s="33">
        <v>15.0</v>
      </c>
      <c r="R29" s="37">
        <f t="shared" si="4"/>
        <v>0</v>
      </c>
    </row>
    <row r="30">
      <c r="A30" s="38" t="s">
        <v>65</v>
      </c>
      <c r="B30" s="30" t="s">
        <v>37</v>
      </c>
      <c r="C30" s="48" t="s">
        <v>66</v>
      </c>
      <c r="D30" s="48" t="s">
        <v>67</v>
      </c>
      <c r="E30" s="33">
        <v>20.0</v>
      </c>
      <c r="F30" s="38" t="s">
        <v>10</v>
      </c>
      <c r="G30" s="32" t="s">
        <v>27</v>
      </c>
      <c r="H30" s="33">
        <v>20.0</v>
      </c>
      <c r="I30" s="53">
        <v>1.710004543E9</v>
      </c>
      <c r="J30" s="54" t="s">
        <v>45</v>
      </c>
      <c r="K30" s="61">
        <v>46331.0</v>
      </c>
      <c r="L30" s="36">
        <v>7.1000039E9</v>
      </c>
      <c r="M30" s="36" t="str">
        <f t="shared" si="5"/>
        <v>SUDAH PO</v>
      </c>
      <c r="N30" s="37" t="s">
        <v>46</v>
      </c>
      <c r="O30" s="57" t="str">
        <f t="shared" si="6"/>
        <v>CLOSE</v>
      </c>
      <c r="P30" s="33" t="s">
        <v>64</v>
      </c>
      <c r="Q30" s="33">
        <v>20.0</v>
      </c>
      <c r="R30" s="37">
        <f t="shared" si="4"/>
        <v>0</v>
      </c>
    </row>
    <row r="31">
      <c r="A31" s="38" t="s">
        <v>68</v>
      </c>
      <c r="B31" s="30" t="s">
        <v>37</v>
      </c>
      <c r="C31" s="48" t="s">
        <v>69</v>
      </c>
      <c r="D31" s="48" t="s">
        <v>70</v>
      </c>
      <c r="E31" s="38">
        <v>1.0</v>
      </c>
      <c r="F31" s="38" t="s">
        <v>10</v>
      </c>
      <c r="G31" s="32" t="s">
        <v>71</v>
      </c>
      <c r="H31" s="37">
        <v>1.0</v>
      </c>
      <c r="I31" s="37">
        <v>1.710004543E9</v>
      </c>
      <c r="J31" s="62" t="s">
        <v>45</v>
      </c>
      <c r="K31" s="61">
        <v>46331.0</v>
      </c>
      <c r="L31" s="36">
        <v>7.1000039E9</v>
      </c>
      <c r="M31" s="36" t="str">
        <f t="shared" si="5"/>
        <v>SUDAH PO</v>
      </c>
      <c r="N31" s="37" t="s">
        <v>55</v>
      </c>
      <c r="O31" s="38" t="str">
        <f t="shared" si="6"/>
        <v>CLOSE</v>
      </c>
      <c r="P31" s="33" t="s">
        <v>64</v>
      </c>
      <c r="Q31" s="33">
        <v>1.0</v>
      </c>
      <c r="R31" s="37">
        <f t="shared" si="4"/>
        <v>0</v>
      </c>
    </row>
    <row r="32">
      <c r="A32" s="38" t="s">
        <v>72</v>
      </c>
      <c r="B32" s="30" t="s">
        <v>37</v>
      </c>
      <c r="C32" s="48" t="s">
        <v>73</v>
      </c>
      <c r="D32" s="48" t="s">
        <v>74</v>
      </c>
      <c r="E32" s="33">
        <v>58.0</v>
      </c>
      <c r="F32" s="38" t="s">
        <v>10</v>
      </c>
      <c r="G32" s="32" t="s">
        <v>27</v>
      </c>
      <c r="H32" s="33">
        <v>58.0</v>
      </c>
      <c r="I32" s="34">
        <v>1.710004543E9</v>
      </c>
      <c r="J32" s="34" t="s">
        <v>45</v>
      </c>
      <c r="K32" s="35">
        <v>46331.0</v>
      </c>
      <c r="L32" s="34">
        <v>7.1000039E9</v>
      </c>
      <c r="M32" s="36" t="str">
        <f t="shared" si="5"/>
        <v>SUDAH PO</v>
      </c>
      <c r="N32" s="33" t="s">
        <v>46</v>
      </c>
      <c r="O32" s="38" t="str">
        <f t="shared" si="6"/>
        <v>CLOSE</v>
      </c>
      <c r="P32" s="37" t="s">
        <v>64</v>
      </c>
      <c r="Q32" s="33">
        <v>58.0</v>
      </c>
      <c r="R32" s="37">
        <f t="shared" si="4"/>
        <v>0</v>
      </c>
    </row>
    <row r="33">
      <c r="A33" s="38" t="s">
        <v>75</v>
      </c>
      <c r="B33" s="30" t="s">
        <v>37</v>
      </c>
      <c r="C33" s="48" t="s">
        <v>76</v>
      </c>
      <c r="D33" s="48" t="s">
        <v>77</v>
      </c>
      <c r="E33" s="33">
        <v>92.0</v>
      </c>
      <c r="F33" s="38" t="s">
        <v>10</v>
      </c>
      <c r="G33" s="33" t="s">
        <v>27</v>
      </c>
      <c r="H33" s="33">
        <v>92.0</v>
      </c>
      <c r="I33" s="53">
        <v>1.710004599E9</v>
      </c>
      <c r="J33" s="58" t="s">
        <v>64</v>
      </c>
      <c r="K33" s="35">
        <v>46301.0</v>
      </c>
      <c r="L33" s="33">
        <v>7.10000398E9</v>
      </c>
      <c r="M33" s="36" t="str">
        <f t="shared" si="5"/>
        <v>SUDAH PO</v>
      </c>
      <c r="N33" s="33" t="s">
        <v>78</v>
      </c>
      <c r="O33" s="38" t="str">
        <f t="shared" si="6"/>
        <v>BELUM DATANG</v>
      </c>
      <c r="P33" s="37"/>
      <c r="Q33" s="37"/>
      <c r="R33" s="37">
        <f t="shared" si="4"/>
        <v>-92</v>
      </c>
    </row>
    <row r="34">
      <c r="A34" s="38" t="s">
        <v>79</v>
      </c>
      <c r="B34" s="30" t="s">
        <v>37</v>
      </c>
      <c r="C34" s="48" t="s">
        <v>80</v>
      </c>
      <c r="D34" s="48" t="s">
        <v>81</v>
      </c>
      <c r="E34" s="32">
        <v>28.0</v>
      </c>
      <c r="F34" s="38" t="s">
        <v>10</v>
      </c>
      <c r="G34" s="32" t="s">
        <v>27</v>
      </c>
      <c r="H34" s="34">
        <v>28.0</v>
      </c>
      <c r="I34" s="34">
        <v>1.710004644E9</v>
      </c>
      <c r="J34" s="35">
        <v>46059.0</v>
      </c>
      <c r="K34" s="35">
        <v>46301.0</v>
      </c>
      <c r="L34" s="33">
        <v>7.100003986E9</v>
      </c>
      <c r="M34" s="36" t="str">
        <f t="shared" si="5"/>
        <v>SUDAH PO</v>
      </c>
      <c r="N34" s="35">
        <v>46301.0</v>
      </c>
      <c r="O34" s="38" t="str">
        <f t="shared" si="6"/>
        <v>BELUM DATANG</v>
      </c>
      <c r="P34" s="37"/>
      <c r="Q34" s="37"/>
      <c r="R34" s="37">
        <f t="shared" si="4"/>
        <v>-28</v>
      </c>
    </row>
    <row r="35">
      <c r="A35" s="38" t="s">
        <v>82</v>
      </c>
      <c r="B35" s="30" t="s">
        <v>37</v>
      </c>
      <c r="C35" s="48" t="s">
        <v>80</v>
      </c>
      <c r="D35" s="48" t="s">
        <v>83</v>
      </c>
      <c r="E35" s="32">
        <v>28.0</v>
      </c>
      <c r="F35" s="38" t="s">
        <v>10</v>
      </c>
      <c r="G35" s="32" t="s">
        <v>27</v>
      </c>
      <c r="H35" s="34">
        <v>28.0</v>
      </c>
      <c r="I35" s="34">
        <v>1.710004644E9</v>
      </c>
      <c r="J35" s="35">
        <v>46059.0</v>
      </c>
      <c r="K35" s="35">
        <v>46301.0</v>
      </c>
      <c r="L35" s="33">
        <v>7.100003986E9</v>
      </c>
      <c r="M35" s="36" t="str">
        <f t="shared" si="5"/>
        <v>SUDAH PO</v>
      </c>
      <c r="N35" s="35">
        <v>46301.0</v>
      </c>
      <c r="O35" s="38" t="str">
        <f t="shared" si="6"/>
        <v>BELUM DATANG</v>
      </c>
      <c r="P35" s="37"/>
      <c r="Q35" s="37"/>
      <c r="R35" s="37">
        <f t="shared" si="4"/>
        <v>-28</v>
      </c>
    </row>
    <row r="36">
      <c r="A36" s="33" t="s">
        <v>84</v>
      </c>
      <c r="B36" s="30" t="s">
        <v>37</v>
      </c>
      <c r="C36" s="48" t="s">
        <v>80</v>
      </c>
      <c r="D36" s="48" t="s">
        <v>85</v>
      </c>
      <c r="E36" s="33">
        <v>89.0</v>
      </c>
      <c r="F36" s="38" t="s">
        <v>10</v>
      </c>
      <c r="G36" s="33" t="s">
        <v>86</v>
      </c>
      <c r="H36" s="34">
        <v>89.0</v>
      </c>
      <c r="I36" s="34">
        <v>1.710004658E9</v>
      </c>
      <c r="J36" s="35">
        <v>46148.0</v>
      </c>
      <c r="K36" s="35">
        <v>46301.0</v>
      </c>
      <c r="L36" s="36"/>
      <c r="M36" s="36" t="str">
        <f t="shared" si="5"/>
        <v>BELUM PO</v>
      </c>
      <c r="N36" s="37"/>
      <c r="O36" s="38" t="str">
        <f t="shared" si="6"/>
        <v>BELUM DATANG</v>
      </c>
      <c r="P36" s="37"/>
      <c r="Q36" s="37"/>
      <c r="R36" s="37">
        <f t="shared" si="4"/>
        <v>-89</v>
      </c>
    </row>
    <row r="37">
      <c r="A37" s="38" t="s">
        <v>87</v>
      </c>
      <c r="B37" s="30" t="s">
        <v>37</v>
      </c>
      <c r="C37" s="48" t="s">
        <v>80</v>
      </c>
      <c r="D37" s="48" t="s">
        <v>88</v>
      </c>
      <c r="E37" s="33">
        <v>60.0</v>
      </c>
      <c r="F37" s="37" t="s">
        <v>10</v>
      </c>
      <c r="G37" s="32" t="s">
        <v>27</v>
      </c>
      <c r="H37" s="53">
        <v>61.0</v>
      </c>
      <c r="I37" s="53">
        <v>1.710004599E9</v>
      </c>
      <c r="J37" s="54" t="s">
        <v>55</v>
      </c>
      <c r="K37" s="58" t="s">
        <v>56</v>
      </c>
      <c r="L37" s="36"/>
      <c r="M37" s="36" t="str">
        <f t="shared" si="5"/>
        <v>BELUM PO</v>
      </c>
      <c r="N37" s="37"/>
      <c r="O37" s="38" t="str">
        <f t="shared" si="6"/>
        <v>BELUM DATANG</v>
      </c>
      <c r="P37" s="37"/>
      <c r="Q37" s="37"/>
      <c r="R37" s="37">
        <f t="shared" si="4"/>
        <v>-61</v>
      </c>
    </row>
    <row r="38">
      <c r="A38" s="33" t="s">
        <v>89</v>
      </c>
      <c r="B38" s="30" t="s">
        <v>37</v>
      </c>
      <c r="C38" s="48" t="s">
        <v>80</v>
      </c>
      <c r="D38" s="48" t="s">
        <v>90</v>
      </c>
      <c r="E38" s="37">
        <v>2.0</v>
      </c>
      <c r="F38" s="37" t="s">
        <v>10</v>
      </c>
      <c r="G38" s="33" t="s">
        <v>27</v>
      </c>
      <c r="H38" s="33">
        <v>2.0</v>
      </c>
      <c r="I38" s="33">
        <v>1.710004644E9</v>
      </c>
      <c r="J38" s="56">
        <v>46059.0</v>
      </c>
      <c r="K38" s="56">
        <v>46301.0</v>
      </c>
      <c r="L38" s="33">
        <v>7.100003986E9</v>
      </c>
      <c r="M38" s="36" t="str">
        <f t="shared" si="5"/>
        <v>SUDAH PO</v>
      </c>
      <c r="N38" s="37"/>
      <c r="O38" s="38" t="str">
        <f t="shared" si="6"/>
        <v>BELUM DATANG</v>
      </c>
      <c r="P38" s="37"/>
      <c r="Q38" s="37"/>
      <c r="R38" s="37">
        <f t="shared" si="4"/>
        <v>-2</v>
      </c>
    </row>
    <row r="39">
      <c r="A39" s="63" t="s">
        <v>91</v>
      </c>
      <c r="B39" s="30" t="s">
        <v>37</v>
      </c>
      <c r="C39" s="64" t="s">
        <v>80</v>
      </c>
      <c r="D39" s="65" t="s">
        <v>92</v>
      </c>
      <c r="E39" s="66">
        <v>2.0</v>
      </c>
      <c r="F39" s="67" t="s">
        <v>10</v>
      </c>
      <c r="G39" s="67"/>
      <c r="H39" s="67"/>
      <c r="I39" s="67"/>
      <c r="J39" s="68"/>
      <c r="K39" s="68"/>
      <c r="L39" s="68"/>
      <c r="M39" s="68" t="str">
        <f t="shared" si="5"/>
        <v>BELUM PO</v>
      </c>
      <c r="N39" s="67"/>
      <c r="O39" s="63" t="str">
        <f t="shared" si="6"/>
        <v>BELUM DATANG</v>
      </c>
      <c r="P39" s="67"/>
      <c r="Q39" s="67"/>
      <c r="R39" s="67"/>
    </row>
    <row r="40">
      <c r="A40" s="38" t="s">
        <v>93</v>
      </c>
      <c r="B40" s="30" t="s">
        <v>37</v>
      </c>
      <c r="C40" s="48" t="s">
        <v>94</v>
      </c>
      <c r="D40" s="48" t="s">
        <v>63</v>
      </c>
      <c r="E40" s="60">
        <v>3.0</v>
      </c>
      <c r="F40" s="37" t="s">
        <v>10</v>
      </c>
      <c r="G40" s="32" t="s">
        <v>71</v>
      </c>
      <c r="H40" s="37">
        <v>3.0</v>
      </c>
      <c r="I40" s="53">
        <v>1.710004543E9</v>
      </c>
      <c r="J40" s="54" t="s">
        <v>45</v>
      </c>
      <c r="K40" s="61">
        <v>46331.0</v>
      </c>
      <c r="L40" s="36">
        <v>7.1000039E9</v>
      </c>
      <c r="M40" s="36" t="str">
        <f t="shared" si="5"/>
        <v>SUDAH PO</v>
      </c>
      <c r="N40" s="33" t="s">
        <v>55</v>
      </c>
      <c r="O40" s="38" t="str">
        <f t="shared" si="6"/>
        <v>CLOSE</v>
      </c>
      <c r="P40" s="33" t="s">
        <v>64</v>
      </c>
      <c r="Q40" s="33">
        <v>3.0</v>
      </c>
      <c r="R40" s="37">
        <f t="shared" ref="R40:R64" si="7">Q40-H40</f>
        <v>0</v>
      </c>
    </row>
    <row r="41">
      <c r="A41" s="37" t="s">
        <v>95</v>
      </c>
      <c r="B41" s="30" t="s">
        <v>37</v>
      </c>
      <c r="C41" s="48" t="s">
        <v>96</v>
      </c>
      <c r="D41" s="48" t="s">
        <v>67</v>
      </c>
      <c r="E41" s="69">
        <v>18.0</v>
      </c>
      <c r="F41" s="38" t="s">
        <v>10</v>
      </c>
      <c r="G41" s="32" t="s">
        <v>27</v>
      </c>
      <c r="H41" s="69">
        <v>18.0</v>
      </c>
      <c r="I41" s="53">
        <v>1.710004543E9</v>
      </c>
      <c r="J41" s="54" t="s">
        <v>45</v>
      </c>
      <c r="K41" s="61">
        <v>46331.0</v>
      </c>
      <c r="L41" s="36">
        <v>7.1000039E9</v>
      </c>
      <c r="M41" s="36" t="str">
        <f t="shared" si="5"/>
        <v>SUDAH PO</v>
      </c>
      <c r="N41" s="37" t="s">
        <v>46</v>
      </c>
      <c r="O41" s="38" t="str">
        <f t="shared" si="6"/>
        <v>CLOSE</v>
      </c>
      <c r="P41" s="33" t="s">
        <v>64</v>
      </c>
      <c r="Q41" s="33">
        <v>18.0</v>
      </c>
      <c r="R41" s="70">
        <f t="shared" si="7"/>
        <v>0</v>
      </c>
    </row>
    <row r="42">
      <c r="A42" s="38" t="s">
        <v>97</v>
      </c>
      <c r="B42" s="30" t="s">
        <v>37</v>
      </c>
      <c r="C42" s="48" t="s">
        <v>98</v>
      </c>
      <c r="D42" s="48" t="s">
        <v>70</v>
      </c>
      <c r="E42" s="37">
        <v>2.0</v>
      </c>
      <c r="F42" s="37" t="s">
        <v>10</v>
      </c>
      <c r="G42" s="32" t="s">
        <v>27</v>
      </c>
      <c r="H42" s="37">
        <v>2.0</v>
      </c>
      <c r="I42" s="37">
        <v>1.710004543E9</v>
      </c>
      <c r="J42" s="54" t="s">
        <v>45</v>
      </c>
      <c r="K42" s="61">
        <v>46331.0</v>
      </c>
      <c r="L42" s="36">
        <v>7.1000039E9</v>
      </c>
      <c r="M42" s="36" t="str">
        <f t="shared" si="5"/>
        <v>SUDAH PO</v>
      </c>
      <c r="N42" s="37" t="s">
        <v>55</v>
      </c>
      <c r="O42" s="38" t="str">
        <f t="shared" si="6"/>
        <v>CLOSE</v>
      </c>
      <c r="P42" s="33" t="s">
        <v>64</v>
      </c>
      <c r="Q42" s="33">
        <v>2.0</v>
      </c>
      <c r="R42" s="37">
        <f t="shared" si="7"/>
        <v>0</v>
      </c>
    </row>
    <row r="43">
      <c r="A43" s="38" t="s">
        <v>99</v>
      </c>
      <c r="B43" s="30" t="s">
        <v>37</v>
      </c>
      <c r="C43" s="48" t="s">
        <v>100</v>
      </c>
      <c r="D43" s="48" t="s">
        <v>74</v>
      </c>
      <c r="E43" s="33">
        <v>19.0</v>
      </c>
      <c r="F43" s="37" t="s">
        <v>10</v>
      </c>
      <c r="G43" s="32" t="s">
        <v>27</v>
      </c>
      <c r="H43" s="33">
        <v>19.0</v>
      </c>
      <c r="I43" s="34">
        <v>1.710004543E9</v>
      </c>
      <c r="J43" s="34" t="s">
        <v>45</v>
      </c>
      <c r="K43" s="35">
        <v>46331.0</v>
      </c>
      <c r="L43" s="34">
        <v>7.1000039E9</v>
      </c>
      <c r="M43" s="36" t="str">
        <f t="shared" si="5"/>
        <v>SUDAH PO</v>
      </c>
      <c r="N43" s="33" t="s">
        <v>46</v>
      </c>
      <c r="O43" s="38" t="str">
        <f t="shared" si="6"/>
        <v>CLOSE</v>
      </c>
      <c r="P43" s="37" t="s">
        <v>64</v>
      </c>
      <c r="Q43" s="33">
        <v>19.0</v>
      </c>
      <c r="R43" s="37">
        <f t="shared" si="7"/>
        <v>0</v>
      </c>
    </row>
    <row r="44">
      <c r="A44" s="71" t="s">
        <v>101</v>
      </c>
      <c r="B44" s="30" t="s">
        <v>37</v>
      </c>
      <c r="C44" s="72" t="s">
        <v>102</v>
      </c>
      <c r="D44" s="72" t="s">
        <v>103</v>
      </c>
      <c r="E44" s="71">
        <v>2.0</v>
      </c>
      <c r="F44" s="73" t="s">
        <v>10</v>
      </c>
      <c r="G44" s="37"/>
      <c r="H44" s="49"/>
      <c r="I44" s="49"/>
      <c r="J44" s="50"/>
      <c r="K44" s="50"/>
      <c r="L44" s="51"/>
      <c r="M44" s="51" t="str">
        <f t="shared" si="5"/>
        <v>BELUM PO</v>
      </c>
      <c r="N44" s="49"/>
      <c r="O44" s="50" t="str">
        <f t="shared" si="6"/>
        <v>BELUM DATANG</v>
      </c>
      <c r="P44" s="49"/>
      <c r="Q44" s="49"/>
      <c r="R44" s="49">
        <f t="shared" si="7"/>
        <v>0</v>
      </c>
    </row>
    <row r="45">
      <c r="A45" s="74"/>
      <c r="B45" s="30" t="s">
        <v>37</v>
      </c>
      <c r="C45" s="47" t="s">
        <v>104</v>
      </c>
      <c r="D45" s="47" t="s">
        <v>105</v>
      </c>
      <c r="E45" s="38">
        <v>157.0</v>
      </c>
      <c r="F45" s="37" t="s">
        <v>106</v>
      </c>
      <c r="G45" s="37"/>
      <c r="H45" s="49"/>
      <c r="I45" s="49"/>
      <c r="J45" s="50"/>
      <c r="K45" s="50"/>
      <c r="L45" s="51"/>
      <c r="M45" s="51"/>
      <c r="N45" s="49"/>
      <c r="O45" s="50"/>
      <c r="P45" s="37"/>
      <c r="Q45" s="37"/>
      <c r="R45" s="37">
        <f t="shared" si="7"/>
        <v>0</v>
      </c>
    </row>
    <row r="46">
      <c r="A46" s="38" t="s">
        <v>107</v>
      </c>
      <c r="B46" s="30" t="s">
        <v>37</v>
      </c>
      <c r="C46" s="48" t="s">
        <v>108</v>
      </c>
      <c r="D46" s="48" t="s">
        <v>109</v>
      </c>
      <c r="E46" s="60">
        <v>1241.0</v>
      </c>
      <c r="F46" s="38" t="s">
        <v>110</v>
      </c>
      <c r="G46" s="32" t="s">
        <v>71</v>
      </c>
      <c r="H46" s="53">
        <v>1241.0</v>
      </c>
      <c r="I46" s="34">
        <v>1.710004543E9</v>
      </c>
      <c r="J46" s="34" t="s">
        <v>46</v>
      </c>
      <c r="K46" s="35">
        <v>46331.0</v>
      </c>
      <c r="L46" s="33">
        <v>7.100003897E9</v>
      </c>
      <c r="M46" s="36" t="str">
        <f t="shared" ref="M46:M53" si="8">IF(LEN(L46)=10,"SUDAH PO",IF(L46="STOK","READY STOK",IF(L46="PL","READY STOK","BELUM PO")))</f>
        <v>SUDAH PO</v>
      </c>
      <c r="N46" s="56">
        <v>45966.0</v>
      </c>
      <c r="O46" s="38" t="str">
        <f t="shared" ref="O46:O53" si="9">IF(H46="STOK","STOK",IF(ISBLANK(P46),"BELUM DATANG",IF(R46=0,"CLOSE","DATANG SEBAGIAN")))</f>
        <v>CLOSE</v>
      </c>
      <c r="P46" s="56">
        <v>46117.0</v>
      </c>
      <c r="Q46" s="33">
        <v>1241.0</v>
      </c>
      <c r="R46" s="37">
        <f t="shared" si="7"/>
        <v>0</v>
      </c>
    </row>
    <row r="47">
      <c r="A47" s="38" t="s">
        <v>111</v>
      </c>
      <c r="B47" s="30" t="s">
        <v>37</v>
      </c>
      <c r="C47" s="48" t="s">
        <v>112</v>
      </c>
      <c r="D47" s="48" t="s">
        <v>113</v>
      </c>
      <c r="E47" s="32">
        <v>1241.0</v>
      </c>
      <c r="F47" s="32" t="s">
        <v>110</v>
      </c>
      <c r="G47" s="32" t="s">
        <v>71</v>
      </c>
      <c r="H47" s="32">
        <v>1241.0</v>
      </c>
      <c r="I47" s="53">
        <v>1.710004599E9</v>
      </c>
      <c r="J47" s="58" t="s">
        <v>64</v>
      </c>
      <c r="K47" s="58" t="s">
        <v>56</v>
      </c>
      <c r="L47" s="36"/>
      <c r="M47" s="36" t="str">
        <f t="shared" si="8"/>
        <v>BELUM PO</v>
      </c>
      <c r="N47" s="37"/>
      <c r="O47" s="38" t="str">
        <f t="shared" si="9"/>
        <v>BELUM DATANG</v>
      </c>
      <c r="P47" s="37"/>
      <c r="Q47" s="37"/>
      <c r="R47" s="37">
        <f t="shared" si="7"/>
        <v>-1241</v>
      </c>
    </row>
    <row r="48">
      <c r="A48" s="38" t="s">
        <v>114</v>
      </c>
      <c r="B48" s="30" t="s">
        <v>37</v>
      </c>
      <c r="C48" s="48" t="s">
        <v>115</v>
      </c>
      <c r="D48" s="48" t="s">
        <v>116</v>
      </c>
      <c r="E48" s="32">
        <v>25.0</v>
      </c>
      <c r="F48" s="32" t="s">
        <v>117</v>
      </c>
      <c r="G48" s="32" t="s">
        <v>71</v>
      </c>
      <c r="H48" s="37">
        <v>25.0</v>
      </c>
      <c r="I48" s="37">
        <v>1.710004599E9</v>
      </c>
      <c r="J48" s="38" t="s">
        <v>64</v>
      </c>
      <c r="K48" s="38" t="s">
        <v>56</v>
      </c>
      <c r="L48" s="33">
        <v>7.100003978E9</v>
      </c>
      <c r="M48" s="36" t="str">
        <f t="shared" si="8"/>
        <v>SUDAH PO</v>
      </c>
      <c r="N48" s="33" t="s">
        <v>78</v>
      </c>
      <c r="O48" s="38" t="str">
        <f t="shared" si="9"/>
        <v>BELUM DATANG</v>
      </c>
      <c r="P48" s="37"/>
      <c r="Q48" s="37"/>
      <c r="R48" s="37">
        <f t="shared" si="7"/>
        <v>-25</v>
      </c>
    </row>
    <row r="49">
      <c r="A49" s="38" t="s">
        <v>118</v>
      </c>
      <c r="B49" s="30" t="s">
        <v>37</v>
      </c>
      <c r="C49" s="48" t="s">
        <v>119</v>
      </c>
      <c r="D49" s="48" t="s">
        <v>120</v>
      </c>
      <c r="E49" s="32">
        <v>37.0</v>
      </c>
      <c r="F49" s="32" t="s">
        <v>117</v>
      </c>
      <c r="G49" s="32" t="s">
        <v>71</v>
      </c>
      <c r="H49" s="37">
        <v>37.0</v>
      </c>
      <c r="I49" s="53">
        <v>1.710004543E9</v>
      </c>
      <c r="J49" s="58" t="s">
        <v>121</v>
      </c>
      <c r="K49" s="61">
        <v>46331.0</v>
      </c>
      <c r="L49" s="36">
        <v>7.1000039E9</v>
      </c>
      <c r="M49" s="36" t="str">
        <f t="shared" si="8"/>
        <v>SUDAH PO</v>
      </c>
      <c r="N49" s="33" t="s">
        <v>55</v>
      </c>
      <c r="O49" s="38" t="str">
        <f t="shared" si="9"/>
        <v>BELUM DATANG</v>
      </c>
      <c r="P49" s="37"/>
      <c r="Q49" s="37"/>
      <c r="R49" s="37">
        <f t="shared" si="7"/>
        <v>-37</v>
      </c>
    </row>
    <row r="50">
      <c r="A50" s="75" t="s">
        <v>122</v>
      </c>
      <c r="B50" s="30" t="s">
        <v>37</v>
      </c>
      <c r="C50" s="76" t="s">
        <v>123</v>
      </c>
      <c r="D50" s="48" t="s">
        <v>124</v>
      </c>
      <c r="E50" s="59">
        <v>150.0</v>
      </c>
      <c r="F50" s="32" t="s">
        <v>10</v>
      </c>
      <c r="G50" s="32" t="s">
        <v>71</v>
      </c>
      <c r="H50" s="70">
        <v>150.0</v>
      </c>
      <c r="I50" s="53">
        <v>1.710004599E9</v>
      </c>
      <c r="J50" s="58" t="s">
        <v>64</v>
      </c>
      <c r="K50" s="35">
        <v>46301.0</v>
      </c>
      <c r="L50" s="33">
        <v>7.100003944E9</v>
      </c>
      <c r="M50" s="36" t="str">
        <f t="shared" si="8"/>
        <v>SUDAH PO</v>
      </c>
      <c r="N50" s="56">
        <v>46208.0</v>
      </c>
      <c r="O50" s="38" t="str">
        <f t="shared" si="9"/>
        <v>BELUM DATANG</v>
      </c>
      <c r="P50" s="37"/>
      <c r="Q50" s="37"/>
      <c r="R50" s="70">
        <f t="shared" si="7"/>
        <v>-150</v>
      </c>
    </row>
    <row r="51">
      <c r="A51" s="77" t="s">
        <v>125</v>
      </c>
      <c r="B51" s="30" t="s">
        <v>37</v>
      </c>
      <c r="C51" s="76" t="s">
        <v>126</v>
      </c>
      <c r="D51" s="48" t="s">
        <v>127</v>
      </c>
      <c r="E51" s="59">
        <v>150.0</v>
      </c>
      <c r="F51" s="32" t="s">
        <v>10</v>
      </c>
      <c r="G51" s="32" t="s">
        <v>71</v>
      </c>
      <c r="H51" s="37">
        <v>150.0</v>
      </c>
      <c r="I51" s="70">
        <v>1.710004599E9</v>
      </c>
      <c r="J51" s="58" t="s">
        <v>64</v>
      </c>
      <c r="K51" s="58" t="s">
        <v>56</v>
      </c>
      <c r="L51" s="33">
        <v>7.100003944E9</v>
      </c>
      <c r="M51" s="36" t="str">
        <f t="shared" si="8"/>
        <v>SUDAH PO</v>
      </c>
      <c r="N51" s="56">
        <v>46208.0</v>
      </c>
      <c r="O51" s="38" t="str">
        <f t="shared" si="9"/>
        <v>CLOSE</v>
      </c>
      <c r="P51" s="33" t="s">
        <v>128</v>
      </c>
      <c r="Q51" s="33">
        <v>150.0</v>
      </c>
      <c r="R51" s="37">
        <f t="shared" si="7"/>
        <v>0</v>
      </c>
    </row>
    <row r="52">
      <c r="A52" s="75" t="s">
        <v>129</v>
      </c>
      <c r="B52" s="30" t="s">
        <v>37</v>
      </c>
      <c r="C52" s="76" t="s">
        <v>130</v>
      </c>
      <c r="D52" s="48" t="s">
        <v>131</v>
      </c>
      <c r="E52" s="59">
        <v>300.0</v>
      </c>
      <c r="F52" s="32" t="s">
        <v>10</v>
      </c>
      <c r="G52" s="32" t="s">
        <v>71</v>
      </c>
      <c r="H52" s="37">
        <v>300.0</v>
      </c>
      <c r="I52" s="54">
        <v>1.710004599E9</v>
      </c>
      <c r="J52" s="58" t="s">
        <v>132</v>
      </c>
      <c r="K52" s="58" t="s">
        <v>56</v>
      </c>
      <c r="L52" s="33">
        <v>7.100003944E9</v>
      </c>
      <c r="M52" s="36" t="str">
        <f t="shared" si="8"/>
        <v>SUDAH PO</v>
      </c>
      <c r="N52" s="56">
        <v>46208.0</v>
      </c>
      <c r="O52" s="38" t="str">
        <f t="shared" si="9"/>
        <v>BELUM DATANG</v>
      </c>
      <c r="P52" s="37"/>
      <c r="Q52" s="37"/>
      <c r="R52" s="37">
        <f t="shared" si="7"/>
        <v>-300</v>
      </c>
    </row>
    <row r="53">
      <c r="A53" s="75" t="s">
        <v>133</v>
      </c>
      <c r="B53" s="30" t="s">
        <v>37</v>
      </c>
      <c r="C53" s="76" t="s">
        <v>134</v>
      </c>
      <c r="D53" s="48" t="s">
        <v>135</v>
      </c>
      <c r="E53" s="38">
        <v>600.0</v>
      </c>
      <c r="F53" s="38" t="s">
        <v>10</v>
      </c>
      <c r="G53" s="37"/>
      <c r="H53" s="37">
        <v>600.0</v>
      </c>
      <c r="I53" s="58">
        <v>1.710004591E9</v>
      </c>
      <c r="J53" s="58" t="s">
        <v>136</v>
      </c>
      <c r="K53" s="78"/>
      <c r="L53" s="36"/>
      <c r="M53" s="36" t="str">
        <f t="shared" si="8"/>
        <v>BELUM PO</v>
      </c>
      <c r="N53" s="37"/>
      <c r="O53" s="38" t="str">
        <f t="shared" si="9"/>
        <v>BELUM DATANG</v>
      </c>
      <c r="P53" s="37"/>
      <c r="Q53" s="37"/>
      <c r="R53" s="37">
        <f t="shared" si="7"/>
        <v>-600</v>
      </c>
    </row>
    <row r="54">
      <c r="A54" s="74"/>
      <c r="B54" s="30" t="s">
        <v>37</v>
      </c>
      <c r="C54" s="47" t="s">
        <v>137</v>
      </c>
      <c r="D54" s="47" t="s">
        <v>138</v>
      </c>
      <c r="E54" s="38">
        <v>103.0</v>
      </c>
      <c r="F54" s="38" t="s">
        <v>106</v>
      </c>
      <c r="G54" s="49"/>
      <c r="H54" s="49"/>
      <c r="I54" s="50"/>
      <c r="J54" s="50"/>
      <c r="K54" s="50"/>
      <c r="L54" s="51"/>
      <c r="M54" s="51"/>
      <c r="N54" s="49"/>
      <c r="O54" s="50"/>
      <c r="P54" s="37"/>
      <c r="Q54" s="37"/>
      <c r="R54" s="37">
        <f t="shared" si="7"/>
        <v>0</v>
      </c>
    </row>
    <row r="55">
      <c r="A55" s="33" t="s">
        <v>139</v>
      </c>
      <c r="B55" s="30" t="s">
        <v>37</v>
      </c>
      <c r="C55" s="48" t="s">
        <v>140</v>
      </c>
      <c r="D55" s="48" t="s">
        <v>109</v>
      </c>
      <c r="E55" s="60">
        <v>1182.0</v>
      </c>
      <c r="F55" s="38" t="s">
        <v>110</v>
      </c>
      <c r="G55" s="32" t="s">
        <v>71</v>
      </c>
      <c r="H55" s="53">
        <v>1182.0</v>
      </c>
      <c r="I55" s="34">
        <v>1.710004543E9</v>
      </c>
      <c r="J55" s="34" t="s">
        <v>46</v>
      </c>
      <c r="K55" s="35">
        <v>46331.0</v>
      </c>
      <c r="L55" s="33">
        <v>7.100003897E9</v>
      </c>
      <c r="M55" s="36" t="str">
        <f t="shared" ref="M55:M58" si="10">IF(LEN(L55)=10,"SUDAH PO",IF(L55="STOK","READY STOK",IF(L55="PL","READY STOK","BELUM PO")))</f>
        <v>SUDAH PO</v>
      </c>
      <c r="N55" s="56">
        <v>45966.0</v>
      </c>
      <c r="O55" s="38" t="str">
        <f t="shared" ref="O55:O58" si="11">IF(H55="STOK","STOK",IF(ISBLANK(P55),"BELUM DATANG",IF(R55=0,"CLOSE","DATANG SEBAGIAN")))</f>
        <v>CLOSE</v>
      </c>
      <c r="P55" s="56">
        <v>46117.0</v>
      </c>
      <c r="Q55" s="33">
        <v>1182.0</v>
      </c>
      <c r="R55" s="37">
        <f t="shared" si="7"/>
        <v>0</v>
      </c>
    </row>
    <row r="56">
      <c r="A56" s="38" t="s">
        <v>111</v>
      </c>
      <c r="B56" s="30" t="s">
        <v>37</v>
      </c>
      <c r="C56" s="48" t="s">
        <v>112</v>
      </c>
      <c r="D56" s="48" t="s">
        <v>141</v>
      </c>
      <c r="E56" s="32">
        <v>1182.0</v>
      </c>
      <c r="F56" s="32" t="s">
        <v>110</v>
      </c>
      <c r="G56" s="32" t="s">
        <v>71</v>
      </c>
      <c r="H56" s="32">
        <v>1182.0</v>
      </c>
      <c r="I56" s="58">
        <v>1.710004599E9</v>
      </c>
      <c r="J56" s="58" t="s">
        <v>64</v>
      </c>
      <c r="K56" s="58" t="s">
        <v>56</v>
      </c>
      <c r="L56" s="36"/>
      <c r="M56" s="36" t="str">
        <f t="shared" si="10"/>
        <v>BELUM PO</v>
      </c>
      <c r="N56" s="37"/>
      <c r="O56" s="38" t="str">
        <f t="shared" si="11"/>
        <v>BELUM DATANG</v>
      </c>
      <c r="P56" s="37"/>
      <c r="Q56" s="37"/>
      <c r="R56" s="37">
        <f t="shared" si="7"/>
        <v>-1182</v>
      </c>
    </row>
    <row r="57">
      <c r="A57" s="38" t="s">
        <v>114</v>
      </c>
      <c r="B57" s="30" t="s">
        <v>37</v>
      </c>
      <c r="C57" s="48" t="s">
        <v>115</v>
      </c>
      <c r="D57" s="48" t="s">
        <v>116</v>
      </c>
      <c r="E57" s="32">
        <v>30.0</v>
      </c>
      <c r="F57" s="32" t="s">
        <v>117</v>
      </c>
      <c r="G57" s="32" t="s">
        <v>71</v>
      </c>
      <c r="H57" s="37">
        <v>30.0</v>
      </c>
      <c r="I57" s="38">
        <v>1.710004599E9</v>
      </c>
      <c r="J57" s="38" t="s">
        <v>64</v>
      </c>
      <c r="K57" s="38" t="s">
        <v>56</v>
      </c>
      <c r="L57" s="33">
        <v>7.100003978E9</v>
      </c>
      <c r="M57" s="36" t="str">
        <f t="shared" si="10"/>
        <v>SUDAH PO</v>
      </c>
      <c r="N57" s="33" t="s">
        <v>78</v>
      </c>
      <c r="O57" s="38" t="str">
        <f t="shared" si="11"/>
        <v>BELUM DATANG</v>
      </c>
      <c r="P57" s="37"/>
      <c r="Q57" s="37"/>
      <c r="R57" s="37">
        <f t="shared" si="7"/>
        <v>-30</v>
      </c>
    </row>
    <row r="58">
      <c r="A58" s="38" t="s">
        <v>118</v>
      </c>
      <c r="B58" s="30" t="s">
        <v>37</v>
      </c>
      <c r="C58" s="48" t="s">
        <v>119</v>
      </c>
      <c r="D58" s="48" t="s">
        <v>142</v>
      </c>
      <c r="E58" s="32">
        <v>51.0</v>
      </c>
      <c r="F58" s="32" t="s">
        <v>117</v>
      </c>
      <c r="G58" s="32" t="s">
        <v>71</v>
      </c>
      <c r="H58" s="37">
        <v>51.0</v>
      </c>
      <c r="I58" s="58">
        <v>1.710004543E9</v>
      </c>
      <c r="J58" s="58" t="s">
        <v>143</v>
      </c>
      <c r="K58" s="61">
        <v>46331.0</v>
      </c>
      <c r="L58" s="36">
        <v>7.1000039E9</v>
      </c>
      <c r="M58" s="36" t="str">
        <f t="shared" si="10"/>
        <v>SUDAH PO</v>
      </c>
      <c r="N58" s="33" t="s">
        <v>55</v>
      </c>
      <c r="O58" s="38" t="str">
        <f t="shared" si="11"/>
        <v>BELUM DATANG</v>
      </c>
      <c r="P58" s="37"/>
      <c r="Q58" s="37"/>
      <c r="R58" s="37">
        <f t="shared" si="7"/>
        <v>-51</v>
      </c>
    </row>
    <row r="59">
      <c r="A59" s="74"/>
      <c r="B59" s="30" t="s">
        <v>37</v>
      </c>
      <c r="C59" s="47" t="s">
        <v>144</v>
      </c>
      <c r="D59" s="47" t="s">
        <v>105</v>
      </c>
      <c r="E59" s="38">
        <v>132.0</v>
      </c>
      <c r="F59" s="38" t="s">
        <v>106</v>
      </c>
      <c r="G59" s="49"/>
      <c r="H59" s="49"/>
      <c r="I59" s="50"/>
      <c r="J59" s="50"/>
      <c r="K59" s="50"/>
      <c r="L59" s="51"/>
      <c r="M59" s="51"/>
      <c r="N59" s="49"/>
      <c r="O59" s="50"/>
      <c r="P59" s="37"/>
      <c r="Q59" s="37"/>
      <c r="R59" s="37">
        <f t="shared" si="7"/>
        <v>0</v>
      </c>
    </row>
    <row r="60">
      <c r="A60" s="38" t="s">
        <v>145</v>
      </c>
      <c r="B60" s="30" t="s">
        <v>37</v>
      </c>
      <c r="C60" s="48" t="s">
        <v>108</v>
      </c>
      <c r="D60" s="48" t="s">
        <v>109</v>
      </c>
      <c r="E60" s="60">
        <v>1075.0</v>
      </c>
      <c r="F60" s="38" t="s">
        <v>110</v>
      </c>
      <c r="G60" s="32" t="s">
        <v>71</v>
      </c>
      <c r="H60" s="53">
        <v>1075.0</v>
      </c>
      <c r="I60" s="34">
        <v>1.710004543E9</v>
      </c>
      <c r="J60" s="34" t="s">
        <v>46</v>
      </c>
      <c r="K60" s="35">
        <v>46331.0</v>
      </c>
      <c r="L60" s="33">
        <v>7.100003897E9</v>
      </c>
      <c r="M60" s="36" t="str">
        <f t="shared" ref="M60:M64" si="12">IF(LEN(L60)=10,"SUDAH PO",IF(L60="STOK","READY STOK",IF(L60="PL","READY STOK","BELUM PO")))</f>
        <v>SUDAH PO</v>
      </c>
      <c r="N60" s="56">
        <v>45966.0</v>
      </c>
      <c r="O60" s="38" t="str">
        <f t="shared" ref="O60:O64" si="13">IF(H60="STOK","STOK",IF(ISBLANK(P60),"BELUM DATANG",IF(R60=0,"CLOSE","DATANG SEBAGIAN")))</f>
        <v>CLOSE</v>
      </c>
      <c r="P60" s="56">
        <v>46117.0</v>
      </c>
      <c r="Q60" s="33">
        <v>1075.0</v>
      </c>
      <c r="R60" s="37">
        <f t="shared" si="7"/>
        <v>0</v>
      </c>
    </row>
    <row r="61">
      <c r="A61" s="38" t="s">
        <v>111</v>
      </c>
      <c r="B61" s="30" t="s">
        <v>37</v>
      </c>
      <c r="C61" s="48" t="s">
        <v>112</v>
      </c>
      <c r="D61" s="48" t="s">
        <v>113</v>
      </c>
      <c r="E61" s="32">
        <v>1075.0</v>
      </c>
      <c r="F61" s="32" t="s">
        <v>110</v>
      </c>
      <c r="G61" s="32" t="s">
        <v>71</v>
      </c>
      <c r="H61" s="32">
        <v>1075.0</v>
      </c>
      <c r="I61" s="58">
        <v>1.710004599E9</v>
      </c>
      <c r="J61" s="58" t="s">
        <v>64</v>
      </c>
      <c r="K61" s="58" t="s">
        <v>56</v>
      </c>
      <c r="L61" s="36"/>
      <c r="M61" s="36" t="str">
        <f t="shared" si="12"/>
        <v>BELUM PO</v>
      </c>
      <c r="N61" s="37"/>
      <c r="O61" s="38" t="str">
        <f t="shared" si="13"/>
        <v>BELUM DATANG</v>
      </c>
      <c r="P61" s="37"/>
      <c r="Q61" s="37"/>
      <c r="R61" s="37">
        <f t="shared" si="7"/>
        <v>-1075</v>
      </c>
    </row>
    <row r="62">
      <c r="A62" s="38" t="s">
        <v>114</v>
      </c>
      <c r="B62" s="30" t="s">
        <v>37</v>
      </c>
      <c r="C62" s="48" t="s">
        <v>115</v>
      </c>
      <c r="D62" s="48" t="s">
        <v>116</v>
      </c>
      <c r="E62" s="32">
        <v>40.0</v>
      </c>
      <c r="F62" s="32" t="s">
        <v>117</v>
      </c>
      <c r="G62" s="32" t="s">
        <v>71</v>
      </c>
      <c r="H62" s="37">
        <v>40.0</v>
      </c>
      <c r="I62" s="58">
        <v>1.710004543E9</v>
      </c>
      <c r="J62" s="58" t="s">
        <v>45</v>
      </c>
      <c r="K62" s="61">
        <v>46331.0</v>
      </c>
      <c r="L62" s="36">
        <v>7.10000391E9</v>
      </c>
      <c r="M62" s="36" t="str">
        <f t="shared" si="12"/>
        <v>SUDAH PO</v>
      </c>
      <c r="N62" s="37" t="s">
        <v>55</v>
      </c>
      <c r="O62" s="38" t="str">
        <f t="shared" si="13"/>
        <v>BELUM DATANG</v>
      </c>
      <c r="P62" s="37"/>
      <c r="Q62" s="37"/>
      <c r="R62" s="37">
        <f t="shared" si="7"/>
        <v>-40</v>
      </c>
    </row>
    <row r="63">
      <c r="A63" s="38" t="s">
        <v>118</v>
      </c>
      <c r="B63" s="30" t="s">
        <v>37</v>
      </c>
      <c r="C63" s="48" t="s">
        <v>119</v>
      </c>
      <c r="D63" s="48" t="s">
        <v>120</v>
      </c>
      <c r="E63" s="32">
        <v>23.0</v>
      </c>
      <c r="F63" s="32" t="s">
        <v>117</v>
      </c>
      <c r="G63" s="32" t="s">
        <v>71</v>
      </c>
      <c r="H63" s="38">
        <v>23.0</v>
      </c>
      <c r="I63" s="58">
        <v>1.710004543E9</v>
      </c>
      <c r="J63" s="58" t="s">
        <v>146</v>
      </c>
      <c r="K63" s="61">
        <v>46331.0</v>
      </c>
      <c r="L63" s="38">
        <v>7.1000039E9</v>
      </c>
      <c r="M63" s="38" t="str">
        <f t="shared" si="12"/>
        <v>SUDAH PO</v>
      </c>
      <c r="N63" s="33" t="s">
        <v>55</v>
      </c>
      <c r="O63" s="38" t="str">
        <f t="shared" si="13"/>
        <v>BELUM DATANG</v>
      </c>
      <c r="P63" s="38"/>
      <c r="Q63" s="38"/>
      <c r="R63" s="38">
        <f t="shared" si="7"/>
        <v>-23</v>
      </c>
    </row>
    <row r="64">
      <c r="A64" s="79" t="s">
        <v>122</v>
      </c>
      <c r="B64" s="30" t="s">
        <v>37</v>
      </c>
      <c r="C64" s="76" t="s">
        <v>123</v>
      </c>
      <c r="D64" s="48" t="s">
        <v>124</v>
      </c>
      <c r="E64" s="32">
        <v>150.0</v>
      </c>
      <c r="F64" s="32" t="s">
        <v>10</v>
      </c>
      <c r="G64" s="32" t="s">
        <v>71</v>
      </c>
      <c r="H64" s="37">
        <v>150.0</v>
      </c>
      <c r="I64" s="53">
        <v>1.710004599E9</v>
      </c>
      <c r="J64" s="53" t="s">
        <v>64</v>
      </c>
      <c r="K64" s="35">
        <v>46301.0</v>
      </c>
      <c r="L64" s="33">
        <v>7.100003944E9</v>
      </c>
      <c r="M64" s="36" t="str">
        <f t="shared" si="12"/>
        <v>SUDAH PO</v>
      </c>
      <c r="N64" s="56">
        <v>46208.0</v>
      </c>
      <c r="O64" s="38" t="str">
        <f t="shared" si="13"/>
        <v>BELUM DATANG</v>
      </c>
      <c r="P64" s="37"/>
      <c r="Q64" s="37"/>
      <c r="R64" s="37">
        <f t="shared" si="7"/>
        <v>-150</v>
      </c>
    </row>
    <row r="65">
      <c r="A65" s="74"/>
      <c r="B65" s="30" t="s">
        <v>37</v>
      </c>
      <c r="C65" s="47" t="s">
        <v>147</v>
      </c>
      <c r="D65" s="47" t="s">
        <v>138</v>
      </c>
      <c r="E65" s="38">
        <v>23.0</v>
      </c>
      <c r="F65" s="38" t="s">
        <v>106</v>
      </c>
      <c r="G65" s="37"/>
      <c r="H65" s="49"/>
      <c r="I65" s="49"/>
      <c r="J65" s="50"/>
      <c r="K65" s="50"/>
      <c r="L65" s="51"/>
      <c r="M65" s="51"/>
      <c r="N65" s="49"/>
      <c r="O65" s="50"/>
      <c r="P65" s="37"/>
      <c r="Q65" s="37"/>
      <c r="R65" s="37"/>
    </row>
    <row r="66">
      <c r="A66" s="38" t="s">
        <v>148</v>
      </c>
      <c r="B66" s="30" t="s">
        <v>37</v>
      </c>
      <c r="C66" s="48" t="s">
        <v>140</v>
      </c>
      <c r="D66" s="48" t="s">
        <v>109</v>
      </c>
      <c r="E66" s="60">
        <v>316.0</v>
      </c>
      <c r="F66" s="38" t="s">
        <v>110</v>
      </c>
      <c r="G66" s="32" t="s">
        <v>71</v>
      </c>
      <c r="H66" s="53">
        <v>316.0</v>
      </c>
      <c r="I66" s="34">
        <v>1.710004543E9</v>
      </c>
      <c r="J66" s="35">
        <v>46208.0</v>
      </c>
      <c r="K66" s="35">
        <v>46301.0</v>
      </c>
      <c r="L66" s="33">
        <v>7.100003947E9</v>
      </c>
      <c r="M66" s="36" t="str">
        <f t="shared" ref="M66:M73" si="14">IF(LEN(L66)=10,"SUDAH PO",IF(L66="STOK","READY STOK",IF(L66="PL","READY STOK","BELUM PO")))</f>
        <v>SUDAH PO</v>
      </c>
      <c r="N66" s="56">
        <v>45966.0</v>
      </c>
      <c r="O66" s="38" t="str">
        <f t="shared" ref="O66:O71" si="15">IF(H66="STOK","STOK",IF(ISBLANK(P66),"BELUM DATANG",IF(R66=0,"CLOSE","DATANG SEBAGIAN")))</f>
        <v>CLOSE</v>
      </c>
      <c r="P66" s="56">
        <v>46117.0</v>
      </c>
      <c r="Q66" s="33">
        <v>316.0</v>
      </c>
      <c r="R66" s="37">
        <f t="shared" ref="R66:R71" si="16">Q66-H66</f>
        <v>0</v>
      </c>
    </row>
    <row r="67">
      <c r="A67" s="38" t="s">
        <v>111</v>
      </c>
      <c r="B67" s="30" t="s">
        <v>37</v>
      </c>
      <c r="C67" s="48" t="s">
        <v>112</v>
      </c>
      <c r="D67" s="48" t="s">
        <v>141</v>
      </c>
      <c r="E67" s="32">
        <v>316.0</v>
      </c>
      <c r="F67" s="32" t="s">
        <v>110</v>
      </c>
      <c r="G67" s="32" t="s">
        <v>71</v>
      </c>
      <c r="H67" s="32">
        <v>316.0</v>
      </c>
      <c r="I67" s="53">
        <v>1.710004599E9</v>
      </c>
      <c r="J67" s="58" t="s">
        <v>64</v>
      </c>
      <c r="K67" s="58" t="s">
        <v>56</v>
      </c>
      <c r="L67" s="36"/>
      <c r="M67" s="36" t="str">
        <f t="shared" si="14"/>
        <v>BELUM PO</v>
      </c>
      <c r="N67" s="37"/>
      <c r="O67" s="38" t="str">
        <f t="shared" si="15"/>
        <v>BELUM DATANG</v>
      </c>
      <c r="P67" s="37"/>
      <c r="Q67" s="37"/>
      <c r="R67" s="37">
        <f t="shared" si="16"/>
        <v>-316</v>
      </c>
    </row>
    <row r="68">
      <c r="A68" s="38" t="s">
        <v>114</v>
      </c>
      <c r="B68" s="30" t="s">
        <v>37</v>
      </c>
      <c r="C68" s="48" t="s">
        <v>115</v>
      </c>
      <c r="D68" s="48" t="s">
        <v>116</v>
      </c>
      <c r="E68" s="32">
        <v>23.0</v>
      </c>
      <c r="F68" s="32" t="s">
        <v>117</v>
      </c>
      <c r="G68" s="32" t="s">
        <v>71</v>
      </c>
      <c r="H68" s="37">
        <v>23.0</v>
      </c>
      <c r="I68" s="80">
        <v>1.710004599E9</v>
      </c>
      <c r="J68" s="38" t="s">
        <v>64</v>
      </c>
      <c r="K68" s="38" t="s">
        <v>56</v>
      </c>
      <c r="L68" s="33">
        <v>7.100003978E9</v>
      </c>
      <c r="M68" s="36" t="str">
        <f t="shared" si="14"/>
        <v>SUDAH PO</v>
      </c>
      <c r="N68" s="33" t="s">
        <v>78</v>
      </c>
      <c r="O68" s="38" t="str">
        <f t="shared" si="15"/>
        <v>BELUM DATANG</v>
      </c>
      <c r="P68" s="37"/>
      <c r="Q68" s="37"/>
      <c r="R68" s="37">
        <f t="shared" si="16"/>
        <v>-23</v>
      </c>
    </row>
    <row r="69">
      <c r="A69" s="38" t="s">
        <v>118</v>
      </c>
      <c r="B69" s="30" t="s">
        <v>37</v>
      </c>
      <c r="C69" s="48" t="s">
        <v>119</v>
      </c>
      <c r="D69" s="48" t="s">
        <v>142</v>
      </c>
      <c r="E69" s="32">
        <v>23.0</v>
      </c>
      <c r="F69" s="32" t="s">
        <v>117</v>
      </c>
      <c r="G69" s="32" t="s">
        <v>71</v>
      </c>
      <c r="H69" s="37">
        <v>23.0</v>
      </c>
      <c r="I69" s="53">
        <v>1.710004543E9</v>
      </c>
      <c r="J69" s="58" t="s">
        <v>149</v>
      </c>
      <c r="K69" s="61">
        <v>46331.0</v>
      </c>
      <c r="L69" s="36">
        <v>7.1000039E9</v>
      </c>
      <c r="M69" s="36" t="str">
        <f t="shared" si="14"/>
        <v>SUDAH PO</v>
      </c>
      <c r="N69" s="33" t="s">
        <v>55</v>
      </c>
      <c r="O69" s="38" t="str">
        <f t="shared" si="15"/>
        <v>BELUM DATANG</v>
      </c>
      <c r="P69" s="37"/>
      <c r="Q69" s="37"/>
      <c r="R69" s="37">
        <f t="shared" si="16"/>
        <v>-23</v>
      </c>
    </row>
    <row r="70">
      <c r="A70" s="38" t="s">
        <v>150</v>
      </c>
      <c r="B70" s="30" t="s">
        <v>37</v>
      </c>
      <c r="C70" s="48" t="s">
        <v>151</v>
      </c>
      <c r="D70" s="48" t="s">
        <v>152</v>
      </c>
      <c r="E70" s="38">
        <v>103.0</v>
      </c>
      <c r="F70" s="38" t="s">
        <v>44</v>
      </c>
      <c r="G70" s="37"/>
      <c r="H70" s="81">
        <f t="shared" ref="H70:H71" si="17">E70/2.4</f>
        <v>42.91666667</v>
      </c>
      <c r="I70" s="53">
        <v>1.710004543E9</v>
      </c>
      <c r="J70" s="58" t="s">
        <v>45</v>
      </c>
      <c r="K70" s="55">
        <v>46331.0</v>
      </c>
      <c r="L70" s="33">
        <v>7.100003899E9</v>
      </c>
      <c r="M70" s="36" t="str">
        <f t="shared" si="14"/>
        <v>SUDAH PO</v>
      </c>
      <c r="N70" s="33" t="s">
        <v>153</v>
      </c>
      <c r="O70" s="38" t="str">
        <f t="shared" si="15"/>
        <v>DATANG SEBAGIAN</v>
      </c>
      <c r="P70" s="56">
        <v>46239.0</v>
      </c>
      <c r="Q70" s="33">
        <v>43.0</v>
      </c>
      <c r="R70" s="70">
        <f t="shared" si="16"/>
        <v>0.08333333333</v>
      </c>
    </row>
    <row r="71">
      <c r="A71" s="38" t="s">
        <v>150</v>
      </c>
      <c r="B71" s="30" t="s">
        <v>37</v>
      </c>
      <c r="C71" s="48" t="s">
        <v>154</v>
      </c>
      <c r="D71" s="48" t="s">
        <v>152</v>
      </c>
      <c r="E71" s="38">
        <v>103.0</v>
      </c>
      <c r="F71" s="38" t="s">
        <v>44</v>
      </c>
      <c r="G71" s="37"/>
      <c r="H71" s="81">
        <f t="shared" si="17"/>
        <v>42.91666667</v>
      </c>
      <c r="I71" s="53">
        <v>1.710004543E9</v>
      </c>
      <c r="J71" s="58" t="s">
        <v>45</v>
      </c>
      <c r="K71" s="55">
        <v>46331.0</v>
      </c>
      <c r="L71" s="33">
        <v>7.100003899E9</v>
      </c>
      <c r="M71" s="36" t="str">
        <f t="shared" si="14"/>
        <v>SUDAH PO</v>
      </c>
      <c r="N71" s="33" t="s">
        <v>153</v>
      </c>
      <c r="O71" s="38" t="str">
        <f t="shared" si="15"/>
        <v>DATANG SEBAGIAN</v>
      </c>
      <c r="P71" s="56">
        <v>46239.0</v>
      </c>
      <c r="Q71" s="33">
        <v>43.0</v>
      </c>
      <c r="R71" s="70">
        <f t="shared" si="16"/>
        <v>0.08333333333</v>
      </c>
    </row>
    <row r="72">
      <c r="A72" s="82" t="s">
        <v>155</v>
      </c>
      <c r="B72" s="30" t="s">
        <v>37</v>
      </c>
      <c r="C72" s="48" t="s">
        <v>156</v>
      </c>
      <c r="D72" s="48" t="s">
        <v>157</v>
      </c>
      <c r="E72" s="38">
        <v>91.0</v>
      </c>
      <c r="F72" s="38" t="s">
        <v>10</v>
      </c>
      <c r="G72" s="37"/>
      <c r="H72" s="83" t="s">
        <v>158</v>
      </c>
      <c r="I72" s="37"/>
      <c r="J72" s="36"/>
      <c r="K72" s="36"/>
      <c r="L72" s="33" t="s">
        <v>159</v>
      </c>
      <c r="M72" s="36" t="str">
        <f t="shared" si="14"/>
        <v>READY STOK</v>
      </c>
      <c r="N72" s="37"/>
      <c r="O72" s="38"/>
      <c r="P72" s="37"/>
      <c r="Q72" s="37"/>
      <c r="R72" s="37">
        <f>Q72-G72</f>
        <v>0</v>
      </c>
    </row>
    <row r="73">
      <c r="A73" s="57" t="s">
        <v>160</v>
      </c>
      <c r="B73" s="30" t="s">
        <v>37</v>
      </c>
      <c r="C73" s="84" t="s">
        <v>161</v>
      </c>
      <c r="D73" s="48" t="s">
        <v>162</v>
      </c>
      <c r="E73" s="85">
        <v>1.0</v>
      </c>
      <c r="F73" s="85" t="s">
        <v>163</v>
      </c>
      <c r="G73" s="85" t="s">
        <v>71</v>
      </c>
      <c r="H73" s="85">
        <v>1.0</v>
      </c>
      <c r="I73" s="85">
        <v>1.710004599E9</v>
      </c>
      <c r="J73" s="86" t="s">
        <v>64</v>
      </c>
      <c r="K73" s="87">
        <v>46301.0</v>
      </c>
      <c r="L73" s="86"/>
      <c r="M73" s="86" t="str">
        <f t="shared" si="14"/>
        <v>BELUM PO</v>
      </c>
      <c r="N73" s="85"/>
      <c r="O73" s="88" t="str">
        <f>IF(H73="STOK","STOK",IF(ISBLANK(P73),"BELUM DATANG",IF(R73=0,"CLOSE","DATANG SEBAGIAN")))</f>
        <v>BELUM DATANG</v>
      </c>
      <c r="P73" s="85"/>
      <c r="Q73" s="85"/>
      <c r="R73" s="85">
        <f>Q73-H73</f>
        <v>-1</v>
      </c>
    </row>
    <row r="74">
      <c r="A74" s="89"/>
      <c r="B74" s="30" t="s">
        <v>37</v>
      </c>
      <c r="C74" s="89"/>
      <c r="D74" s="48" t="s">
        <v>164</v>
      </c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</row>
    <row r="75">
      <c r="A75" s="89"/>
      <c r="B75" s="30" t="s">
        <v>37</v>
      </c>
      <c r="C75" s="89"/>
      <c r="D75" s="48" t="s">
        <v>165</v>
      </c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</row>
    <row r="76">
      <c r="A76" s="89"/>
      <c r="B76" s="30" t="s">
        <v>37</v>
      </c>
      <c r="C76" s="89"/>
      <c r="D76" s="48" t="s">
        <v>166</v>
      </c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</row>
    <row r="77">
      <c r="A77" s="89"/>
      <c r="B77" s="30" t="s">
        <v>37</v>
      </c>
      <c r="C77" s="89"/>
      <c r="D77" s="48" t="s">
        <v>167</v>
      </c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</row>
    <row r="78">
      <c r="A78" s="89"/>
      <c r="B78" s="30" t="s">
        <v>37</v>
      </c>
      <c r="C78" s="89"/>
      <c r="D78" s="48" t="s">
        <v>168</v>
      </c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</row>
    <row r="79">
      <c r="A79" s="89"/>
      <c r="B79" s="30" t="s">
        <v>37</v>
      </c>
      <c r="C79" s="89"/>
      <c r="D79" s="48" t="s">
        <v>169</v>
      </c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</row>
    <row r="80">
      <c r="A80" s="89"/>
      <c r="B80" s="30" t="s">
        <v>37</v>
      </c>
      <c r="C80" s="89"/>
      <c r="D80" s="48" t="s">
        <v>170</v>
      </c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</row>
    <row r="81">
      <c r="A81" s="89"/>
      <c r="B81" s="30" t="s">
        <v>37</v>
      </c>
      <c r="C81" s="89"/>
      <c r="D81" s="48" t="s">
        <v>171</v>
      </c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</row>
    <row r="82">
      <c r="A82" s="18"/>
      <c r="B82" s="30" t="s">
        <v>37</v>
      </c>
      <c r="C82" s="18"/>
      <c r="D82" s="48" t="s">
        <v>172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</row>
    <row r="83">
      <c r="A83" s="38" t="s">
        <v>173</v>
      </c>
      <c r="B83" s="90" t="s">
        <v>37</v>
      </c>
      <c r="C83" s="48" t="s">
        <v>80</v>
      </c>
      <c r="D83" s="48" t="s">
        <v>174</v>
      </c>
      <c r="E83" s="37">
        <v>32.0</v>
      </c>
      <c r="F83" s="37" t="s">
        <v>10</v>
      </c>
      <c r="G83" s="46"/>
      <c r="H83" s="53">
        <v>32.0</v>
      </c>
      <c r="I83" s="53">
        <v>1.710004599E9</v>
      </c>
      <c r="J83" s="55" t="s">
        <v>55</v>
      </c>
      <c r="K83" s="61">
        <v>46301.0</v>
      </c>
      <c r="L83" s="91"/>
      <c r="M83" s="68" t="str">
        <f t="shared" ref="M83:M86" si="18">IF(LEN(L83)=10,"SUDAH PO",IF(L83="STOK","READY STOK",IF(L83="PL","READY STOK","BELUM PO")))</f>
        <v>BELUM PO</v>
      </c>
      <c r="N83" s="46"/>
      <c r="O83" s="63" t="str">
        <f t="shared" ref="O83:O86" si="19">IF(H83="STOK","STOK",IF(ISBLANK(P83),"BELUM DATANG",IF(R83=0,"CLOSE","DATANG SEBAGIAN")))</f>
        <v>BELUM DATANG</v>
      </c>
      <c r="P83" s="46"/>
      <c r="Q83" s="46"/>
      <c r="R83" s="37">
        <f t="shared" ref="R83:R86" si="20">Q83-H83</f>
        <v>-32</v>
      </c>
    </row>
    <row r="84">
      <c r="A84" s="38" t="s">
        <v>175</v>
      </c>
      <c r="B84" s="90" t="s">
        <v>37</v>
      </c>
      <c r="C84" s="48" t="s">
        <v>80</v>
      </c>
      <c r="D84" s="48" t="s">
        <v>176</v>
      </c>
      <c r="E84" s="37">
        <v>2.0</v>
      </c>
      <c r="F84" s="37" t="s">
        <v>10</v>
      </c>
      <c r="G84" s="46"/>
      <c r="H84" s="37">
        <v>2.0</v>
      </c>
      <c r="I84" s="37">
        <v>1.710004644E9</v>
      </c>
      <c r="J84" s="61">
        <v>46059.0</v>
      </c>
      <c r="K84" s="61">
        <v>46301.0</v>
      </c>
      <c r="L84" s="91"/>
      <c r="M84" s="68" t="str">
        <f t="shared" si="18"/>
        <v>BELUM PO</v>
      </c>
      <c r="N84" s="46"/>
      <c r="O84" s="63" t="str">
        <f t="shared" si="19"/>
        <v>BELUM DATANG</v>
      </c>
      <c r="P84" s="46"/>
      <c r="Q84" s="46"/>
      <c r="R84" s="37">
        <f t="shared" si="20"/>
        <v>-2</v>
      </c>
    </row>
    <row r="85">
      <c r="A85" s="92" t="s">
        <v>23</v>
      </c>
      <c r="B85" s="90" t="s">
        <v>37</v>
      </c>
      <c r="C85" s="90" t="s">
        <v>25</v>
      </c>
      <c r="D85" s="90" t="s">
        <v>25</v>
      </c>
      <c r="E85" s="93">
        <v>50.0</v>
      </c>
      <c r="F85" s="93" t="s">
        <v>26</v>
      </c>
      <c r="G85" s="93" t="s">
        <v>27</v>
      </c>
      <c r="H85" s="37">
        <v>50.0</v>
      </c>
      <c r="I85" s="53">
        <v>1.710004644E9</v>
      </c>
      <c r="J85" s="61">
        <v>46059.0</v>
      </c>
      <c r="K85" s="61" t="s">
        <v>28</v>
      </c>
      <c r="L85" s="91"/>
      <c r="M85" s="68" t="str">
        <f t="shared" si="18"/>
        <v>BELUM PO</v>
      </c>
      <c r="N85" s="46"/>
      <c r="O85" s="63" t="str">
        <f t="shared" si="19"/>
        <v>BELUM DATANG</v>
      </c>
      <c r="P85" s="46"/>
      <c r="Q85" s="46"/>
      <c r="R85" s="37">
        <f t="shared" si="20"/>
        <v>-50</v>
      </c>
    </row>
    <row r="86">
      <c r="A86" s="92" t="s">
        <v>23</v>
      </c>
      <c r="B86" s="90" t="s">
        <v>37</v>
      </c>
      <c r="C86" s="90" t="s">
        <v>25</v>
      </c>
      <c r="D86" s="90" t="s">
        <v>25</v>
      </c>
      <c r="E86" s="94">
        <v>35.0</v>
      </c>
      <c r="F86" s="94" t="s">
        <v>26</v>
      </c>
      <c r="G86" s="94" t="s">
        <v>27</v>
      </c>
      <c r="H86" s="37">
        <v>35.0</v>
      </c>
      <c r="I86" s="53">
        <v>1.710004644E9</v>
      </c>
      <c r="J86" s="61">
        <v>46059.0</v>
      </c>
      <c r="K86" s="61" t="s">
        <v>28</v>
      </c>
      <c r="L86" s="91"/>
      <c r="M86" s="68" t="str">
        <f t="shared" si="18"/>
        <v>BELUM PO</v>
      </c>
      <c r="N86" s="46"/>
      <c r="O86" s="63" t="str">
        <f t="shared" si="19"/>
        <v>BELUM DATANG</v>
      </c>
      <c r="P86" s="46"/>
      <c r="Q86" s="46"/>
      <c r="R86" s="37">
        <f t="shared" si="20"/>
        <v>-35</v>
      </c>
    </row>
    <row r="87">
      <c r="A87" s="41"/>
      <c r="B87" s="42"/>
      <c r="C87" s="42"/>
      <c r="D87" s="42"/>
      <c r="E87" s="42"/>
      <c r="F87" s="42"/>
      <c r="G87" s="43"/>
      <c r="H87" s="44"/>
      <c r="I87" s="44"/>
      <c r="J87" s="24"/>
      <c r="K87" s="24"/>
      <c r="L87" s="25"/>
      <c r="M87" s="25"/>
      <c r="N87" s="44"/>
      <c r="O87" s="24"/>
      <c r="P87" s="44"/>
      <c r="Q87" s="44"/>
      <c r="R87" s="44"/>
    </row>
    <row r="88">
      <c r="A88" s="74"/>
      <c r="B88" s="30" t="s">
        <v>177</v>
      </c>
      <c r="C88" s="47" t="s">
        <v>38</v>
      </c>
      <c r="D88" s="48" t="s">
        <v>39</v>
      </c>
      <c r="E88" s="38">
        <v>1.0</v>
      </c>
      <c r="F88" s="38" t="s">
        <v>40</v>
      </c>
      <c r="G88" s="49"/>
      <c r="H88" s="49"/>
      <c r="I88" s="49"/>
      <c r="J88" s="50"/>
      <c r="K88" s="95"/>
      <c r="L88" s="51"/>
      <c r="M88" s="36"/>
      <c r="N88" s="37"/>
      <c r="O88" s="38"/>
      <c r="P88" s="37"/>
      <c r="Q88" s="37"/>
      <c r="R88" s="37">
        <f t="shared" ref="R88:R130" si="21">Q88-H88</f>
        <v>0</v>
      </c>
    </row>
    <row r="89">
      <c r="A89" s="38" t="s">
        <v>178</v>
      </c>
      <c r="B89" s="30" t="s">
        <v>177</v>
      </c>
      <c r="C89" s="48" t="s">
        <v>179</v>
      </c>
      <c r="D89" s="48" t="s">
        <v>43</v>
      </c>
      <c r="E89" s="38">
        <v>6.0</v>
      </c>
      <c r="F89" s="38" t="s">
        <v>44</v>
      </c>
      <c r="G89" s="33" t="s">
        <v>27</v>
      </c>
      <c r="H89" s="37">
        <v>6.0</v>
      </c>
      <c r="I89" s="53">
        <v>1.710004543E9</v>
      </c>
      <c r="J89" s="58" t="s">
        <v>45</v>
      </c>
      <c r="K89" s="55">
        <v>46331.0</v>
      </c>
      <c r="L89" s="36">
        <v>7.100003897E9</v>
      </c>
      <c r="M89" s="36" t="str">
        <f t="shared" ref="M89:M109" si="22">IF(LEN(L89)=10,"SUDAH PO",IF(L89="STOK","READY STOK",IF(L89="PL","READY STOK","BELUM PO")))</f>
        <v>SUDAH PO</v>
      </c>
      <c r="N89" s="37" t="s">
        <v>46</v>
      </c>
      <c r="O89" s="38" t="str">
        <f t="shared" ref="O89:O109" si="23">IF(H89="STOK","STOK",IF(ISBLANK(P89),"BELUM DATANG",IF(R89=0,"CLOSE","DATANG SEBAGIAN")))</f>
        <v>CLOSE</v>
      </c>
      <c r="P89" s="56">
        <v>46118.0</v>
      </c>
      <c r="Q89" s="33">
        <v>6.0</v>
      </c>
      <c r="R89" s="37">
        <f t="shared" si="21"/>
        <v>0</v>
      </c>
    </row>
    <row r="90">
      <c r="A90" s="38" t="s">
        <v>180</v>
      </c>
      <c r="B90" s="30" t="s">
        <v>177</v>
      </c>
      <c r="C90" s="48" t="s">
        <v>179</v>
      </c>
      <c r="D90" s="48" t="s">
        <v>48</v>
      </c>
      <c r="E90" s="32">
        <v>6.0</v>
      </c>
      <c r="F90" s="37" t="s">
        <v>44</v>
      </c>
      <c r="G90" s="32" t="s">
        <v>27</v>
      </c>
      <c r="H90" s="37">
        <v>6.0</v>
      </c>
      <c r="I90" s="53">
        <v>1.710004543E9</v>
      </c>
      <c r="J90" s="58" t="s">
        <v>45</v>
      </c>
      <c r="K90" s="35">
        <v>45966.0</v>
      </c>
      <c r="L90" s="36">
        <v>7.100003897E9</v>
      </c>
      <c r="M90" s="36" t="str">
        <f t="shared" si="22"/>
        <v>SUDAH PO</v>
      </c>
      <c r="N90" s="56">
        <v>46331.0</v>
      </c>
      <c r="O90" s="38" t="str">
        <f t="shared" si="23"/>
        <v>CLOSE</v>
      </c>
      <c r="P90" s="56">
        <v>46118.0</v>
      </c>
      <c r="Q90" s="33">
        <v>6.0</v>
      </c>
      <c r="R90" s="37">
        <f t="shared" si="21"/>
        <v>0</v>
      </c>
    </row>
    <row r="91">
      <c r="A91" s="38" t="s">
        <v>181</v>
      </c>
      <c r="B91" s="30" t="s">
        <v>177</v>
      </c>
      <c r="C91" s="48" t="s">
        <v>182</v>
      </c>
      <c r="D91" s="48" t="s">
        <v>43</v>
      </c>
      <c r="E91" s="33">
        <v>19.0</v>
      </c>
      <c r="F91" s="38" t="s">
        <v>44</v>
      </c>
      <c r="G91" s="33" t="s">
        <v>86</v>
      </c>
      <c r="H91" s="33">
        <v>19.0</v>
      </c>
      <c r="I91" s="53">
        <v>1.710004543E9</v>
      </c>
      <c r="J91" s="58" t="s">
        <v>45</v>
      </c>
      <c r="K91" s="55">
        <v>46331.0</v>
      </c>
      <c r="L91" s="36">
        <v>7.100003897E9</v>
      </c>
      <c r="M91" s="36" t="str">
        <f t="shared" si="22"/>
        <v>SUDAH PO</v>
      </c>
      <c r="N91" s="37" t="s">
        <v>46</v>
      </c>
      <c r="O91" s="38" t="str">
        <f t="shared" si="23"/>
        <v>CLOSE</v>
      </c>
      <c r="P91" s="56">
        <v>46118.0</v>
      </c>
      <c r="Q91" s="33">
        <v>19.0</v>
      </c>
      <c r="R91" s="37">
        <f t="shared" si="21"/>
        <v>0</v>
      </c>
    </row>
    <row r="92">
      <c r="A92" s="38" t="s">
        <v>183</v>
      </c>
      <c r="B92" s="30" t="s">
        <v>177</v>
      </c>
      <c r="C92" s="48" t="s">
        <v>182</v>
      </c>
      <c r="D92" s="48" t="s">
        <v>48</v>
      </c>
      <c r="E92" s="40">
        <v>19.0</v>
      </c>
      <c r="F92" s="37" t="s">
        <v>44</v>
      </c>
      <c r="G92" s="40" t="s">
        <v>86</v>
      </c>
      <c r="H92" s="33">
        <v>19.0</v>
      </c>
      <c r="I92" s="53">
        <v>1.710004543E9</v>
      </c>
      <c r="J92" s="58" t="s">
        <v>45</v>
      </c>
      <c r="K92" s="35">
        <v>45966.0</v>
      </c>
      <c r="L92" s="36">
        <v>7.100003897E9</v>
      </c>
      <c r="M92" s="36" t="str">
        <f t="shared" si="22"/>
        <v>SUDAH PO</v>
      </c>
      <c r="N92" s="56">
        <v>46331.0</v>
      </c>
      <c r="O92" s="38" t="str">
        <f t="shared" si="23"/>
        <v>CLOSE</v>
      </c>
      <c r="P92" s="56">
        <v>46118.0</v>
      </c>
      <c r="Q92" s="33">
        <v>19.0</v>
      </c>
      <c r="R92" s="37">
        <f t="shared" si="21"/>
        <v>0</v>
      </c>
    </row>
    <row r="93">
      <c r="A93" s="38" t="s">
        <v>184</v>
      </c>
      <c r="B93" s="30" t="s">
        <v>177</v>
      </c>
      <c r="C93" s="48" t="s">
        <v>53</v>
      </c>
      <c r="D93" s="48" t="s">
        <v>54</v>
      </c>
      <c r="E93" s="38">
        <v>32.0</v>
      </c>
      <c r="F93" s="38" t="s">
        <v>10</v>
      </c>
      <c r="G93" s="33" t="s">
        <v>27</v>
      </c>
      <c r="H93" s="53">
        <v>32.0</v>
      </c>
      <c r="I93" s="53">
        <v>1.710004599E9</v>
      </c>
      <c r="J93" s="58" t="s">
        <v>55</v>
      </c>
      <c r="K93" s="58" t="s">
        <v>56</v>
      </c>
      <c r="L93" s="36"/>
      <c r="M93" s="36" t="str">
        <f t="shared" si="22"/>
        <v>BELUM PO</v>
      </c>
      <c r="N93" s="37"/>
      <c r="O93" s="38" t="str">
        <f t="shared" si="23"/>
        <v>BELUM DATANG</v>
      </c>
      <c r="P93" s="37"/>
      <c r="Q93" s="37"/>
      <c r="R93" s="37">
        <f t="shared" si="21"/>
        <v>-32</v>
      </c>
    </row>
    <row r="94">
      <c r="A94" s="33" t="s">
        <v>185</v>
      </c>
      <c r="B94" s="30" t="s">
        <v>177</v>
      </c>
      <c r="C94" s="48" t="s">
        <v>53</v>
      </c>
      <c r="D94" s="96" t="s">
        <v>58</v>
      </c>
      <c r="E94" s="33">
        <v>89.0</v>
      </c>
      <c r="F94" s="38" t="s">
        <v>10</v>
      </c>
      <c r="G94" s="33" t="s">
        <v>86</v>
      </c>
      <c r="H94" s="34">
        <v>89.0</v>
      </c>
      <c r="I94" s="34">
        <v>1.710004658E9</v>
      </c>
      <c r="J94" s="35">
        <v>46148.0</v>
      </c>
      <c r="K94" s="35">
        <v>46301.0</v>
      </c>
      <c r="L94" s="33">
        <v>7.100003986E9</v>
      </c>
      <c r="M94" s="36" t="str">
        <f t="shared" si="22"/>
        <v>SUDAH PO</v>
      </c>
      <c r="N94" s="37"/>
      <c r="O94" s="38" t="str">
        <f t="shared" si="23"/>
        <v>BELUM DATANG</v>
      </c>
      <c r="P94" s="37"/>
      <c r="Q94" s="37"/>
      <c r="R94" s="37">
        <f t="shared" si="21"/>
        <v>-89</v>
      </c>
    </row>
    <row r="95">
      <c r="A95" s="37" t="s">
        <v>186</v>
      </c>
      <c r="B95" s="30" t="s">
        <v>177</v>
      </c>
      <c r="C95" s="48" t="s">
        <v>53</v>
      </c>
      <c r="D95" s="48" t="s">
        <v>60</v>
      </c>
      <c r="E95" s="69">
        <v>33.0</v>
      </c>
      <c r="F95" s="38" t="s">
        <v>10</v>
      </c>
      <c r="G95" s="33" t="s">
        <v>27</v>
      </c>
      <c r="H95" s="54">
        <v>36.0</v>
      </c>
      <c r="I95" s="53">
        <v>1.710004599E9</v>
      </c>
      <c r="J95" s="53" t="s">
        <v>55</v>
      </c>
      <c r="K95" s="35">
        <v>46301.0</v>
      </c>
      <c r="L95" s="36"/>
      <c r="M95" s="36" t="str">
        <f t="shared" si="22"/>
        <v>BELUM PO</v>
      </c>
      <c r="N95" s="37"/>
      <c r="O95" s="38" t="str">
        <f t="shared" si="23"/>
        <v>BELUM DATANG</v>
      </c>
      <c r="P95" s="37"/>
      <c r="Q95" s="37"/>
      <c r="R95" s="70">
        <f t="shared" si="21"/>
        <v>-36</v>
      </c>
    </row>
    <row r="96">
      <c r="A96" s="38" t="s">
        <v>187</v>
      </c>
      <c r="B96" s="30" t="s">
        <v>177</v>
      </c>
      <c r="C96" s="48" t="s">
        <v>62</v>
      </c>
      <c r="D96" s="48" t="s">
        <v>63</v>
      </c>
      <c r="E96" s="60">
        <v>17.0</v>
      </c>
      <c r="F96" s="37" t="s">
        <v>10</v>
      </c>
      <c r="G96" s="32" t="s">
        <v>27</v>
      </c>
      <c r="H96" s="37">
        <v>15.0</v>
      </c>
      <c r="I96" s="53">
        <v>1.710004543E9</v>
      </c>
      <c r="J96" s="54" t="s">
        <v>45</v>
      </c>
      <c r="K96" s="61">
        <v>46331.0</v>
      </c>
      <c r="L96" s="36">
        <v>7.1000039E9</v>
      </c>
      <c r="M96" s="36" t="str">
        <f t="shared" si="22"/>
        <v>SUDAH PO</v>
      </c>
      <c r="N96" s="33" t="s">
        <v>55</v>
      </c>
      <c r="O96" s="38" t="str">
        <f t="shared" si="23"/>
        <v>CLOSE</v>
      </c>
      <c r="P96" s="33" t="s">
        <v>64</v>
      </c>
      <c r="Q96" s="37">
        <v>15.0</v>
      </c>
      <c r="R96" s="37">
        <f t="shared" si="21"/>
        <v>0</v>
      </c>
    </row>
    <row r="97">
      <c r="A97" s="38" t="s">
        <v>188</v>
      </c>
      <c r="B97" s="30" t="s">
        <v>177</v>
      </c>
      <c r="C97" s="48" t="s">
        <v>66</v>
      </c>
      <c r="D97" s="48" t="s">
        <v>67</v>
      </c>
      <c r="E97" s="33">
        <v>20.0</v>
      </c>
      <c r="F97" s="37" t="s">
        <v>10</v>
      </c>
      <c r="G97" s="32" t="s">
        <v>27</v>
      </c>
      <c r="H97" s="33">
        <v>20.0</v>
      </c>
      <c r="I97" s="53">
        <v>1.710004543E9</v>
      </c>
      <c r="J97" s="54" t="s">
        <v>45</v>
      </c>
      <c r="K97" s="61">
        <v>46331.0</v>
      </c>
      <c r="L97" s="36">
        <v>7.1000039E9</v>
      </c>
      <c r="M97" s="36" t="str">
        <f t="shared" si="22"/>
        <v>SUDAH PO</v>
      </c>
      <c r="N97" s="37" t="s">
        <v>46</v>
      </c>
      <c r="O97" s="38" t="str">
        <f t="shared" si="23"/>
        <v>CLOSE</v>
      </c>
      <c r="P97" s="33" t="s">
        <v>64</v>
      </c>
      <c r="Q97" s="33">
        <v>20.0</v>
      </c>
      <c r="R97" s="37">
        <f t="shared" si="21"/>
        <v>0</v>
      </c>
    </row>
    <row r="98">
      <c r="A98" s="38" t="s">
        <v>189</v>
      </c>
      <c r="B98" s="30" t="s">
        <v>177</v>
      </c>
      <c r="C98" s="48" t="s">
        <v>69</v>
      </c>
      <c r="D98" s="48" t="s">
        <v>70</v>
      </c>
      <c r="E98" s="38">
        <v>1.0</v>
      </c>
      <c r="F98" s="37" t="s">
        <v>10</v>
      </c>
      <c r="G98" s="32" t="s">
        <v>71</v>
      </c>
      <c r="H98" s="37">
        <v>1.0</v>
      </c>
      <c r="I98" s="37">
        <v>1.710004543E9</v>
      </c>
      <c r="J98" s="58" t="s">
        <v>45</v>
      </c>
      <c r="K98" s="61">
        <v>46331.0</v>
      </c>
      <c r="L98" s="36">
        <v>7.1000039E9</v>
      </c>
      <c r="M98" s="36" t="str">
        <f t="shared" si="22"/>
        <v>SUDAH PO</v>
      </c>
      <c r="N98" s="37" t="s">
        <v>55</v>
      </c>
      <c r="O98" s="38" t="str">
        <f t="shared" si="23"/>
        <v>CLOSE</v>
      </c>
      <c r="P98" s="33" t="s">
        <v>64</v>
      </c>
      <c r="Q98" s="33">
        <v>1.0</v>
      </c>
      <c r="R98" s="37">
        <f t="shared" si="21"/>
        <v>0</v>
      </c>
    </row>
    <row r="99">
      <c r="A99" s="38" t="s">
        <v>190</v>
      </c>
      <c r="B99" s="30" t="s">
        <v>177</v>
      </c>
      <c r="C99" s="48" t="s">
        <v>73</v>
      </c>
      <c r="D99" s="48" t="s">
        <v>74</v>
      </c>
      <c r="E99" s="33">
        <v>58.0</v>
      </c>
      <c r="F99" s="37" t="s">
        <v>10</v>
      </c>
      <c r="G99" s="32" t="s">
        <v>27</v>
      </c>
      <c r="H99" s="33">
        <v>58.0</v>
      </c>
      <c r="I99" s="34">
        <v>1.710004543E9</v>
      </c>
      <c r="J99" s="34" t="s">
        <v>45</v>
      </c>
      <c r="K99" s="35">
        <v>46331.0</v>
      </c>
      <c r="L99" s="34">
        <v>7.1000039E9</v>
      </c>
      <c r="M99" s="36" t="str">
        <f t="shared" si="22"/>
        <v>SUDAH PO</v>
      </c>
      <c r="N99" s="33" t="s">
        <v>46</v>
      </c>
      <c r="O99" s="38" t="str">
        <f t="shared" si="23"/>
        <v>CLOSE</v>
      </c>
      <c r="P99" s="37" t="s">
        <v>64</v>
      </c>
      <c r="Q99" s="33">
        <v>58.0</v>
      </c>
      <c r="R99" s="37">
        <f t="shared" si="21"/>
        <v>0</v>
      </c>
    </row>
    <row r="100">
      <c r="A100" s="37" t="s">
        <v>75</v>
      </c>
      <c r="B100" s="30" t="s">
        <v>177</v>
      </c>
      <c r="C100" s="48" t="s">
        <v>76</v>
      </c>
      <c r="D100" s="48" t="s">
        <v>77</v>
      </c>
      <c r="E100" s="33">
        <v>92.0</v>
      </c>
      <c r="F100" s="38" t="s">
        <v>10</v>
      </c>
      <c r="G100" s="33" t="s">
        <v>27</v>
      </c>
      <c r="H100" s="69">
        <v>92.0</v>
      </c>
      <c r="I100" s="53">
        <v>1.710004599E9</v>
      </c>
      <c r="J100" s="53" t="s">
        <v>64</v>
      </c>
      <c r="K100" s="35">
        <v>46301.0</v>
      </c>
      <c r="L100" s="33">
        <v>7.10000398E9</v>
      </c>
      <c r="M100" s="36" t="str">
        <f t="shared" si="22"/>
        <v>SUDAH PO</v>
      </c>
      <c r="N100" s="33" t="s">
        <v>78</v>
      </c>
      <c r="O100" s="38" t="str">
        <f t="shared" si="23"/>
        <v>BELUM DATANG</v>
      </c>
      <c r="P100" s="37"/>
      <c r="Q100" s="37"/>
      <c r="R100" s="70">
        <f t="shared" si="21"/>
        <v>-92</v>
      </c>
    </row>
    <row r="101">
      <c r="A101" s="38" t="s">
        <v>191</v>
      </c>
      <c r="B101" s="30" t="s">
        <v>177</v>
      </c>
      <c r="C101" s="48" t="s">
        <v>80</v>
      </c>
      <c r="D101" s="97" t="s">
        <v>192</v>
      </c>
      <c r="E101" s="32">
        <v>31.0</v>
      </c>
      <c r="F101" s="38" t="s">
        <v>10</v>
      </c>
      <c r="G101" s="32" t="s">
        <v>27</v>
      </c>
      <c r="H101" s="33">
        <v>31.0</v>
      </c>
      <c r="I101" s="34">
        <v>1.710004644E9</v>
      </c>
      <c r="J101" s="35">
        <v>46059.0</v>
      </c>
      <c r="K101" s="35">
        <v>46301.0</v>
      </c>
      <c r="L101" s="33">
        <v>7.100003986E9</v>
      </c>
      <c r="M101" s="36" t="str">
        <f t="shared" si="22"/>
        <v>SUDAH PO</v>
      </c>
      <c r="N101" s="35">
        <v>46301.0</v>
      </c>
      <c r="O101" s="38" t="str">
        <f t="shared" si="23"/>
        <v>BELUM DATANG</v>
      </c>
      <c r="P101" s="37"/>
      <c r="Q101" s="37"/>
      <c r="R101" s="37">
        <f t="shared" si="21"/>
        <v>-31</v>
      </c>
    </row>
    <row r="102">
      <c r="A102" s="38" t="s">
        <v>193</v>
      </c>
      <c r="B102" s="30" t="s">
        <v>177</v>
      </c>
      <c r="C102" s="48" t="s">
        <v>80</v>
      </c>
      <c r="D102" s="97" t="s">
        <v>192</v>
      </c>
      <c r="E102" s="32">
        <v>32.0</v>
      </c>
      <c r="F102" s="38" t="s">
        <v>10</v>
      </c>
      <c r="G102" s="32" t="s">
        <v>27</v>
      </c>
      <c r="H102" s="33">
        <v>32.0</v>
      </c>
      <c r="I102" s="34">
        <v>1.710004644E9</v>
      </c>
      <c r="J102" s="35">
        <v>46059.0</v>
      </c>
      <c r="K102" s="35">
        <v>46301.0</v>
      </c>
      <c r="L102" s="33">
        <v>7.100003986E9</v>
      </c>
      <c r="M102" s="36" t="str">
        <f t="shared" si="22"/>
        <v>SUDAH PO</v>
      </c>
      <c r="N102" s="35">
        <v>46301.0</v>
      </c>
      <c r="O102" s="38" t="str">
        <f t="shared" si="23"/>
        <v>BELUM DATANG</v>
      </c>
      <c r="P102" s="37"/>
      <c r="Q102" s="37"/>
      <c r="R102" s="37">
        <f t="shared" si="21"/>
        <v>-32</v>
      </c>
    </row>
    <row r="103">
      <c r="A103" s="38" t="s">
        <v>194</v>
      </c>
      <c r="B103" s="30" t="s">
        <v>177</v>
      </c>
      <c r="C103" s="48" t="s">
        <v>80</v>
      </c>
      <c r="D103" s="48" t="s">
        <v>88</v>
      </c>
      <c r="E103" s="33">
        <v>60.0</v>
      </c>
      <c r="F103" s="37" t="s">
        <v>10</v>
      </c>
      <c r="G103" s="32" t="s">
        <v>27</v>
      </c>
      <c r="H103" s="53">
        <v>61.0</v>
      </c>
      <c r="I103" s="53">
        <v>1.710004599E9</v>
      </c>
      <c r="J103" s="58" t="s">
        <v>55</v>
      </c>
      <c r="K103" s="58" t="s">
        <v>56</v>
      </c>
      <c r="L103" s="36"/>
      <c r="M103" s="36" t="str">
        <f t="shared" si="22"/>
        <v>BELUM PO</v>
      </c>
      <c r="N103" s="37"/>
      <c r="O103" s="38" t="str">
        <f t="shared" si="23"/>
        <v>BELUM DATANG</v>
      </c>
      <c r="P103" s="37"/>
      <c r="Q103" s="37"/>
      <c r="R103" s="37">
        <f t="shared" si="21"/>
        <v>-61</v>
      </c>
    </row>
    <row r="104">
      <c r="A104" s="33" t="s">
        <v>195</v>
      </c>
      <c r="B104" s="30" t="s">
        <v>177</v>
      </c>
      <c r="C104" s="48" t="s">
        <v>80</v>
      </c>
      <c r="D104" s="48" t="s">
        <v>90</v>
      </c>
      <c r="E104" s="38">
        <v>2.0</v>
      </c>
      <c r="F104" s="37" t="s">
        <v>10</v>
      </c>
      <c r="G104" s="33" t="s">
        <v>27</v>
      </c>
      <c r="H104" s="33">
        <v>2.0</v>
      </c>
      <c r="I104" s="33">
        <v>1.710004599E9</v>
      </c>
      <c r="J104" s="33" t="s">
        <v>196</v>
      </c>
      <c r="K104" s="56">
        <v>46301.0</v>
      </c>
      <c r="L104" s="33">
        <v>7.100003986E9</v>
      </c>
      <c r="M104" s="36" t="str">
        <f t="shared" si="22"/>
        <v>SUDAH PO</v>
      </c>
      <c r="N104" s="37"/>
      <c r="O104" s="38" t="str">
        <f t="shared" si="23"/>
        <v>BELUM DATANG</v>
      </c>
      <c r="P104" s="37"/>
      <c r="Q104" s="37"/>
      <c r="R104" s="37">
        <f t="shared" si="21"/>
        <v>-2</v>
      </c>
    </row>
    <row r="105">
      <c r="A105" s="63" t="s">
        <v>91</v>
      </c>
      <c r="B105" s="30" t="s">
        <v>177</v>
      </c>
      <c r="C105" s="64" t="s">
        <v>80</v>
      </c>
      <c r="D105" s="65" t="s">
        <v>92</v>
      </c>
      <c r="E105" s="63">
        <v>2.0</v>
      </c>
      <c r="F105" s="63" t="s">
        <v>10</v>
      </c>
      <c r="G105" s="67"/>
      <c r="H105" s="67"/>
      <c r="I105" s="67"/>
      <c r="J105" s="63"/>
      <c r="K105" s="63"/>
      <c r="L105" s="68"/>
      <c r="M105" s="68" t="str">
        <f t="shared" si="22"/>
        <v>BELUM PO</v>
      </c>
      <c r="N105" s="67"/>
      <c r="O105" s="63" t="str">
        <f t="shared" si="23"/>
        <v>BELUM DATANG</v>
      </c>
      <c r="P105" s="67"/>
      <c r="Q105" s="67"/>
      <c r="R105" s="67">
        <f t="shared" si="21"/>
        <v>0</v>
      </c>
    </row>
    <row r="106">
      <c r="A106" s="38" t="s">
        <v>197</v>
      </c>
      <c r="B106" s="30" t="s">
        <v>177</v>
      </c>
      <c r="C106" s="48" t="s">
        <v>94</v>
      </c>
      <c r="D106" s="48" t="s">
        <v>63</v>
      </c>
      <c r="E106" s="60">
        <v>3.0</v>
      </c>
      <c r="F106" s="38" t="s">
        <v>10</v>
      </c>
      <c r="G106" s="32" t="s">
        <v>71</v>
      </c>
      <c r="H106" s="37">
        <v>3.0</v>
      </c>
      <c r="I106" s="53">
        <v>1.710004543E9</v>
      </c>
      <c r="J106" s="54" t="s">
        <v>45</v>
      </c>
      <c r="K106" s="61">
        <v>46331.0</v>
      </c>
      <c r="L106" s="36">
        <v>7.1000039E9</v>
      </c>
      <c r="M106" s="36" t="str">
        <f t="shared" si="22"/>
        <v>SUDAH PO</v>
      </c>
      <c r="N106" s="33" t="s">
        <v>55</v>
      </c>
      <c r="O106" s="38" t="str">
        <f t="shared" si="23"/>
        <v>CLOSE</v>
      </c>
      <c r="P106" s="33" t="s">
        <v>64</v>
      </c>
      <c r="Q106" s="33">
        <v>3.0</v>
      </c>
      <c r="R106" s="37">
        <f t="shared" si="21"/>
        <v>0</v>
      </c>
    </row>
    <row r="107">
      <c r="A107" s="38" t="s">
        <v>198</v>
      </c>
      <c r="B107" s="30" t="s">
        <v>177</v>
      </c>
      <c r="C107" s="48" t="s">
        <v>96</v>
      </c>
      <c r="D107" s="48" t="s">
        <v>67</v>
      </c>
      <c r="E107" s="33">
        <v>18.0</v>
      </c>
      <c r="F107" s="38" t="s">
        <v>10</v>
      </c>
      <c r="G107" s="32" t="s">
        <v>27</v>
      </c>
      <c r="H107" s="33">
        <v>18.0</v>
      </c>
      <c r="I107" s="53">
        <v>1.710004543E9</v>
      </c>
      <c r="J107" s="54" t="s">
        <v>45</v>
      </c>
      <c r="K107" s="61">
        <v>46331.0</v>
      </c>
      <c r="L107" s="36">
        <v>7.1000039E9</v>
      </c>
      <c r="M107" s="36" t="str">
        <f t="shared" si="22"/>
        <v>SUDAH PO</v>
      </c>
      <c r="N107" s="37" t="s">
        <v>46</v>
      </c>
      <c r="O107" s="38" t="str">
        <f t="shared" si="23"/>
        <v>CLOSE</v>
      </c>
      <c r="P107" s="33" t="s">
        <v>64</v>
      </c>
      <c r="Q107" s="33">
        <v>18.0</v>
      </c>
      <c r="R107" s="37">
        <f t="shared" si="21"/>
        <v>0</v>
      </c>
    </row>
    <row r="108">
      <c r="A108" s="38" t="s">
        <v>199</v>
      </c>
      <c r="B108" s="30" t="s">
        <v>177</v>
      </c>
      <c r="C108" s="48" t="s">
        <v>98</v>
      </c>
      <c r="D108" s="48" t="s">
        <v>70</v>
      </c>
      <c r="E108" s="38">
        <v>1.0</v>
      </c>
      <c r="F108" s="38" t="s">
        <v>10</v>
      </c>
      <c r="G108" s="32" t="s">
        <v>71</v>
      </c>
      <c r="H108" s="37">
        <v>1.0</v>
      </c>
      <c r="I108" s="37">
        <v>1.710004543E9</v>
      </c>
      <c r="J108" s="58" t="s">
        <v>45</v>
      </c>
      <c r="K108" s="61">
        <v>46331.0</v>
      </c>
      <c r="L108" s="36">
        <v>7.1000039E9</v>
      </c>
      <c r="M108" s="36" t="str">
        <f t="shared" si="22"/>
        <v>SUDAH PO</v>
      </c>
      <c r="N108" s="37" t="s">
        <v>55</v>
      </c>
      <c r="O108" s="38" t="str">
        <f t="shared" si="23"/>
        <v>CLOSE</v>
      </c>
      <c r="P108" s="33" t="s">
        <v>64</v>
      </c>
      <c r="Q108" s="33">
        <v>1.0</v>
      </c>
      <c r="R108" s="37">
        <f t="shared" si="21"/>
        <v>0</v>
      </c>
    </row>
    <row r="109">
      <c r="A109" s="38" t="s">
        <v>200</v>
      </c>
      <c r="B109" s="30" t="s">
        <v>177</v>
      </c>
      <c r="C109" s="48" t="s">
        <v>100</v>
      </c>
      <c r="D109" s="48" t="s">
        <v>74</v>
      </c>
      <c r="E109" s="33">
        <v>25.0</v>
      </c>
      <c r="F109" s="38" t="s">
        <v>10</v>
      </c>
      <c r="G109" s="32" t="s">
        <v>27</v>
      </c>
      <c r="H109" s="33">
        <v>25.0</v>
      </c>
      <c r="I109" s="34">
        <v>1.710004543E9</v>
      </c>
      <c r="J109" s="34" t="s">
        <v>45</v>
      </c>
      <c r="K109" s="35">
        <v>46331.0</v>
      </c>
      <c r="L109" s="34">
        <v>7.1000039E9</v>
      </c>
      <c r="M109" s="36" t="str">
        <f t="shared" si="22"/>
        <v>SUDAH PO</v>
      </c>
      <c r="N109" s="33" t="s">
        <v>46</v>
      </c>
      <c r="O109" s="38" t="str">
        <f t="shared" si="23"/>
        <v>CLOSE</v>
      </c>
      <c r="P109" s="37" t="s">
        <v>64</v>
      </c>
      <c r="Q109" s="33">
        <v>25.0</v>
      </c>
      <c r="R109" s="37">
        <f t="shared" si="21"/>
        <v>0</v>
      </c>
    </row>
    <row r="110">
      <c r="A110" s="71" t="s">
        <v>101</v>
      </c>
      <c r="B110" s="30" t="s">
        <v>177</v>
      </c>
      <c r="C110" s="72" t="s">
        <v>102</v>
      </c>
      <c r="D110" s="72" t="s">
        <v>103</v>
      </c>
      <c r="E110" s="98">
        <v>2.0</v>
      </c>
      <c r="F110" s="71" t="s">
        <v>10</v>
      </c>
      <c r="G110" s="37"/>
      <c r="H110" s="49"/>
      <c r="I110" s="99"/>
      <c r="J110" s="50"/>
      <c r="K110" s="50"/>
      <c r="L110" s="51"/>
      <c r="M110" s="51"/>
      <c r="N110" s="49"/>
      <c r="O110" s="50"/>
      <c r="P110" s="49"/>
      <c r="Q110" s="49"/>
      <c r="R110" s="49">
        <f t="shared" si="21"/>
        <v>0</v>
      </c>
    </row>
    <row r="111">
      <c r="A111" s="74"/>
      <c r="B111" s="30" t="s">
        <v>177</v>
      </c>
      <c r="C111" s="47" t="s">
        <v>104</v>
      </c>
      <c r="D111" s="47" t="s">
        <v>105</v>
      </c>
      <c r="E111" s="98" t="s">
        <v>201</v>
      </c>
      <c r="F111" s="38" t="s">
        <v>106</v>
      </c>
      <c r="G111" s="37"/>
      <c r="H111" s="49"/>
      <c r="I111" s="99"/>
      <c r="J111" s="50"/>
      <c r="K111" s="50"/>
      <c r="L111" s="51"/>
      <c r="M111" s="51"/>
      <c r="N111" s="49"/>
      <c r="O111" s="50"/>
      <c r="P111" s="37"/>
      <c r="Q111" s="37"/>
      <c r="R111" s="37">
        <f t="shared" si="21"/>
        <v>0</v>
      </c>
    </row>
    <row r="112">
      <c r="A112" s="38" t="s">
        <v>202</v>
      </c>
      <c r="B112" s="30" t="s">
        <v>177</v>
      </c>
      <c r="C112" s="48" t="s">
        <v>108</v>
      </c>
      <c r="D112" s="48" t="s">
        <v>109</v>
      </c>
      <c r="E112" s="60">
        <v>1241.0</v>
      </c>
      <c r="F112" s="38" t="s">
        <v>110</v>
      </c>
      <c r="G112" s="32" t="s">
        <v>71</v>
      </c>
      <c r="H112" s="54">
        <v>1241.0</v>
      </c>
      <c r="I112" s="34">
        <v>1.710004543E9</v>
      </c>
      <c r="J112" s="34" t="s">
        <v>46</v>
      </c>
      <c r="K112" s="35">
        <v>46331.0</v>
      </c>
      <c r="L112" s="33">
        <v>7.100003897E9</v>
      </c>
      <c r="M112" s="36" t="str">
        <f t="shared" ref="M112:M119" si="24">IF(LEN(L112)=10,"SUDAH PO",IF(L112="STOK","READY STOK",IF(L112="PL","READY STOK","BELUM PO")))</f>
        <v>SUDAH PO</v>
      </c>
      <c r="N112" s="56">
        <v>45966.0</v>
      </c>
      <c r="O112" s="38" t="str">
        <f t="shared" ref="O112:O119" si="25">IF(H112="STOK","STOK",IF(ISBLANK(P112),"BELUM DATANG",IF(R112=0,"CLOSE","DATANG SEBAGIAN")))</f>
        <v>CLOSE</v>
      </c>
      <c r="P112" s="56">
        <v>46117.0</v>
      </c>
      <c r="Q112" s="33">
        <v>1241.0</v>
      </c>
      <c r="R112" s="70">
        <f t="shared" si="21"/>
        <v>0</v>
      </c>
    </row>
    <row r="113">
      <c r="A113" s="38" t="s">
        <v>111</v>
      </c>
      <c r="B113" s="30" t="s">
        <v>177</v>
      </c>
      <c r="C113" s="48" t="s">
        <v>112</v>
      </c>
      <c r="D113" s="48" t="s">
        <v>113</v>
      </c>
      <c r="E113" s="32">
        <v>1241.0</v>
      </c>
      <c r="F113" s="32" t="s">
        <v>110</v>
      </c>
      <c r="G113" s="32" t="s">
        <v>71</v>
      </c>
      <c r="H113" s="59">
        <v>1241.0</v>
      </c>
      <c r="I113" s="58">
        <v>1.710004599E9</v>
      </c>
      <c r="J113" s="58" t="s">
        <v>64</v>
      </c>
      <c r="K113" s="58" t="s">
        <v>56</v>
      </c>
      <c r="L113" s="36"/>
      <c r="M113" s="36" t="str">
        <f t="shared" si="24"/>
        <v>BELUM PO</v>
      </c>
      <c r="N113" s="37"/>
      <c r="O113" s="38" t="str">
        <f t="shared" si="25"/>
        <v>BELUM DATANG</v>
      </c>
      <c r="P113" s="37"/>
      <c r="Q113" s="37"/>
      <c r="R113" s="70">
        <f t="shared" si="21"/>
        <v>-1241</v>
      </c>
    </row>
    <row r="114">
      <c r="A114" s="38" t="s">
        <v>114</v>
      </c>
      <c r="B114" s="30" t="s">
        <v>177</v>
      </c>
      <c r="C114" s="48" t="s">
        <v>115</v>
      </c>
      <c r="D114" s="48" t="s">
        <v>116</v>
      </c>
      <c r="E114" s="32">
        <v>25.0</v>
      </c>
      <c r="F114" s="32" t="s">
        <v>117</v>
      </c>
      <c r="G114" s="32" t="s">
        <v>71</v>
      </c>
      <c r="H114" s="70">
        <v>25.0</v>
      </c>
      <c r="I114" s="100">
        <v>1.710004599E9</v>
      </c>
      <c r="J114" s="38" t="s">
        <v>64</v>
      </c>
      <c r="K114" s="56">
        <v>46301.0</v>
      </c>
      <c r="L114" s="33">
        <v>7.100003978E9</v>
      </c>
      <c r="M114" s="36" t="str">
        <f t="shared" si="24"/>
        <v>SUDAH PO</v>
      </c>
      <c r="N114" s="33" t="s">
        <v>78</v>
      </c>
      <c r="O114" s="38" t="str">
        <f t="shared" si="25"/>
        <v>BELUM DATANG</v>
      </c>
      <c r="P114" s="37"/>
      <c r="Q114" s="37"/>
      <c r="R114" s="70">
        <f t="shared" si="21"/>
        <v>-25</v>
      </c>
    </row>
    <row r="115">
      <c r="A115" s="38" t="s">
        <v>118</v>
      </c>
      <c r="B115" s="30" t="s">
        <v>177</v>
      </c>
      <c r="C115" s="48" t="s">
        <v>119</v>
      </c>
      <c r="D115" s="48" t="s">
        <v>120</v>
      </c>
      <c r="E115" s="32">
        <v>37.0</v>
      </c>
      <c r="F115" s="32" t="s">
        <v>117</v>
      </c>
      <c r="G115" s="32" t="s">
        <v>71</v>
      </c>
      <c r="H115" s="70">
        <v>37.0</v>
      </c>
      <c r="I115" s="58">
        <v>1.710004543E9</v>
      </c>
      <c r="J115" s="58" t="s">
        <v>203</v>
      </c>
      <c r="K115" s="61">
        <v>46331.0</v>
      </c>
      <c r="L115" s="36">
        <v>7.1000039E9</v>
      </c>
      <c r="M115" s="36" t="str">
        <f t="shared" si="24"/>
        <v>SUDAH PO</v>
      </c>
      <c r="N115" s="33" t="s">
        <v>55</v>
      </c>
      <c r="O115" s="38" t="str">
        <f t="shared" si="25"/>
        <v>CLOSE</v>
      </c>
      <c r="P115" s="33" t="s">
        <v>204</v>
      </c>
      <c r="Q115" s="33">
        <v>37.0</v>
      </c>
      <c r="R115" s="70">
        <f t="shared" si="21"/>
        <v>0</v>
      </c>
    </row>
    <row r="116">
      <c r="A116" s="75" t="s">
        <v>122</v>
      </c>
      <c r="B116" s="30" t="s">
        <v>177</v>
      </c>
      <c r="C116" s="76" t="s">
        <v>123</v>
      </c>
      <c r="D116" s="48" t="s">
        <v>124</v>
      </c>
      <c r="E116" s="32">
        <v>150.0</v>
      </c>
      <c r="F116" s="32" t="s">
        <v>10</v>
      </c>
      <c r="G116" s="32" t="s">
        <v>71</v>
      </c>
      <c r="H116" s="70">
        <v>150.0</v>
      </c>
      <c r="I116" s="58">
        <v>1.710004599E9</v>
      </c>
      <c r="J116" s="58" t="s">
        <v>64</v>
      </c>
      <c r="K116" s="35">
        <v>46301.0</v>
      </c>
      <c r="L116" s="33">
        <v>7.100003944E9</v>
      </c>
      <c r="M116" s="36" t="str">
        <f t="shared" si="24"/>
        <v>SUDAH PO</v>
      </c>
      <c r="N116" s="56">
        <v>46208.0</v>
      </c>
      <c r="O116" s="38" t="str">
        <f t="shared" si="25"/>
        <v>BELUM DATANG</v>
      </c>
      <c r="P116" s="37"/>
      <c r="Q116" s="37"/>
      <c r="R116" s="70">
        <f t="shared" si="21"/>
        <v>-150</v>
      </c>
    </row>
    <row r="117">
      <c r="A117" s="75" t="s">
        <v>125</v>
      </c>
      <c r="B117" s="30" t="s">
        <v>177</v>
      </c>
      <c r="C117" s="76" t="s">
        <v>126</v>
      </c>
      <c r="D117" s="48" t="s">
        <v>127</v>
      </c>
      <c r="E117" s="32">
        <v>150.0</v>
      </c>
      <c r="F117" s="32" t="s">
        <v>10</v>
      </c>
      <c r="G117" s="32" t="s">
        <v>71</v>
      </c>
      <c r="H117" s="70">
        <v>150.0</v>
      </c>
      <c r="I117" s="38">
        <v>1.710004599E9</v>
      </c>
      <c r="J117" s="58" t="s">
        <v>64</v>
      </c>
      <c r="K117" s="58" t="s">
        <v>56</v>
      </c>
      <c r="L117" s="33">
        <v>7.100003944E9</v>
      </c>
      <c r="M117" s="36" t="str">
        <f t="shared" si="24"/>
        <v>SUDAH PO</v>
      </c>
      <c r="N117" s="56">
        <v>46208.0</v>
      </c>
      <c r="O117" s="38" t="str">
        <f t="shared" si="25"/>
        <v>BELUM DATANG</v>
      </c>
      <c r="P117" s="37"/>
      <c r="Q117" s="37"/>
      <c r="R117" s="70">
        <f t="shared" si="21"/>
        <v>-150</v>
      </c>
    </row>
    <row r="118">
      <c r="A118" s="75" t="s">
        <v>129</v>
      </c>
      <c r="B118" s="30" t="s">
        <v>177</v>
      </c>
      <c r="C118" s="76" t="s">
        <v>130</v>
      </c>
      <c r="D118" s="48" t="s">
        <v>131</v>
      </c>
      <c r="E118" s="32">
        <v>300.0</v>
      </c>
      <c r="F118" s="32" t="s">
        <v>10</v>
      </c>
      <c r="G118" s="32" t="s">
        <v>71</v>
      </c>
      <c r="H118" s="70">
        <v>300.0</v>
      </c>
      <c r="I118" s="58">
        <v>1.710004599E9</v>
      </c>
      <c r="J118" s="58" t="s">
        <v>132</v>
      </c>
      <c r="K118" s="58" t="s">
        <v>56</v>
      </c>
      <c r="L118" s="33">
        <v>7.100003944E9</v>
      </c>
      <c r="M118" s="36" t="str">
        <f t="shared" si="24"/>
        <v>SUDAH PO</v>
      </c>
      <c r="N118" s="56">
        <v>46208.0</v>
      </c>
      <c r="O118" s="38" t="str">
        <f t="shared" si="25"/>
        <v>BELUM DATANG</v>
      </c>
      <c r="P118" s="37"/>
      <c r="Q118" s="37"/>
      <c r="R118" s="70">
        <f t="shared" si="21"/>
        <v>-300</v>
      </c>
    </row>
    <row r="119">
      <c r="A119" s="75" t="s">
        <v>133</v>
      </c>
      <c r="B119" s="30" t="s">
        <v>177</v>
      </c>
      <c r="C119" s="76" t="s">
        <v>134</v>
      </c>
      <c r="D119" s="48" t="s">
        <v>135</v>
      </c>
      <c r="E119" s="70">
        <v>600.0</v>
      </c>
      <c r="F119" s="38" t="s">
        <v>10</v>
      </c>
      <c r="G119" s="37"/>
      <c r="H119" s="54">
        <v>600.0</v>
      </c>
      <c r="I119" s="58">
        <v>1.710004591E9</v>
      </c>
      <c r="J119" s="58" t="s">
        <v>136</v>
      </c>
      <c r="K119" s="38"/>
      <c r="L119" s="36"/>
      <c r="M119" s="36" t="str">
        <f t="shared" si="24"/>
        <v>BELUM PO</v>
      </c>
      <c r="N119" s="37"/>
      <c r="O119" s="38" t="str">
        <f t="shared" si="25"/>
        <v>BELUM DATANG</v>
      </c>
      <c r="P119" s="37"/>
      <c r="Q119" s="37"/>
      <c r="R119" s="70">
        <f t="shared" si="21"/>
        <v>-600</v>
      </c>
    </row>
    <row r="120">
      <c r="A120" s="74"/>
      <c r="B120" s="30" t="s">
        <v>177</v>
      </c>
      <c r="C120" s="47" t="s">
        <v>137</v>
      </c>
      <c r="D120" s="47" t="s">
        <v>138</v>
      </c>
      <c r="E120" s="38">
        <v>114.0</v>
      </c>
      <c r="F120" s="38" t="s">
        <v>106</v>
      </c>
      <c r="G120" s="37"/>
      <c r="H120" s="101"/>
      <c r="I120" s="50"/>
      <c r="J120" s="50"/>
      <c r="K120" s="50"/>
      <c r="L120" s="51"/>
      <c r="M120" s="51"/>
      <c r="N120" s="49"/>
      <c r="O120" s="50"/>
      <c r="P120" s="37"/>
      <c r="Q120" s="37"/>
      <c r="R120" s="70">
        <f t="shared" si="21"/>
        <v>0</v>
      </c>
    </row>
    <row r="121">
      <c r="A121" s="38" t="s">
        <v>205</v>
      </c>
      <c r="B121" s="30" t="s">
        <v>177</v>
      </c>
      <c r="C121" s="48" t="s">
        <v>140</v>
      </c>
      <c r="D121" s="48" t="s">
        <v>109</v>
      </c>
      <c r="E121" s="60">
        <v>1182.0</v>
      </c>
      <c r="F121" s="38" t="s">
        <v>110</v>
      </c>
      <c r="G121" s="32" t="s">
        <v>71</v>
      </c>
      <c r="H121" s="54">
        <v>1182.0</v>
      </c>
      <c r="I121" s="34">
        <v>1.710004543E9</v>
      </c>
      <c r="J121" s="34" t="s">
        <v>46</v>
      </c>
      <c r="K121" s="35">
        <v>46331.0</v>
      </c>
      <c r="L121" s="33">
        <v>7.100003897E9</v>
      </c>
      <c r="M121" s="36" t="str">
        <f t="shared" ref="M121:M130" si="26">IF(LEN(L121)=10,"SUDAH PO",IF(L121="STOK","READY STOK",IF(L121="PL","READY STOK","BELUM PO")))</f>
        <v>SUDAH PO</v>
      </c>
      <c r="N121" s="56">
        <v>45966.0</v>
      </c>
      <c r="O121" s="38" t="str">
        <f t="shared" ref="O121:O130" si="27">IF(H121="STOK","STOK",IF(ISBLANK(P121),"BELUM DATANG",IF(R121=0,"CLOSE","DATANG SEBAGIAN")))</f>
        <v>CLOSE</v>
      </c>
      <c r="P121" s="56">
        <v>46117.0</v>
      </c>
      <c r="Q121" s="33">
        <v>1182.0</v>
      </c>
      <c r="R121" s="70">
        <f t="shared" si="21"/>
        <v>0</v>
      </c>
    </row>
    <row r="122">
      <c r="A122" s="38" t="s">
        <v>111</v>
      </c>
      <c r="B122" s="30" t="s">
        <v>177</v>
      </c>
      <c r="C122" s="48" t="s">
        <v>112</v>
      </c>
      <c r="D122" s="48" t="s">
        <v>141</v>
      </c>
      <c r="E122" s="32">
        <v>1182.0</v>
      </c>
      <c r="F122" s="32" t="s">
        <v>110</v>
      </c>
      <c r="G122" s="32" t="s">
        <v>71</v>
      </c>
      <c r="H122" s="32">
        <v>1182.0</v>
      </c>
      <c r="I122" s="58">
        <v>1.710004599E9</v>
      </c>
      <c r="J122" s="58" t="s">
        <v>64</v>
      </c>
      <c r="K122" s="58" t="s">
        <v>56</v>
      </c>
      <c r="L122" s="38"/>
      <c r="M122" s="36" t="str">
        <f t="shared" si="26"/>
        <v>BELUM PO</v>
      </c>
      <c r="N122" s="38"/>
      <c r="O122" s="38" t="str">
        <f t="shared" si="27"/>
        <v>BELUM DATANG</v>
      </c>
      <c r="P122" s="38"/>
      <c r="Q122" s="38"/>
      <c r="R122" s="38">
        <f t="shared" si="21"/>
        <v>-1182</v>
      </c>
    </row>
    <row r="123">
      <c r="A123" s="37" t="s">
        <v>114</v>
      </c>
      <c r="B123" s="30" t="s">
        <v>177</v>
      </c>
      <c r="C123" s="48" t="s">
        <v>115</v>
      </c>
      <c r="D123" s="48" t="s">
        <v>116</v>
      </c>
      <c r="E123" s="32">
        <v>25.0</v>
      </c>
      <c r="F123" s="32" t="s">
        <v>117</v>
      </c>
      <c r="G123" s="32" t="s">
        <v>71</v>
      </c>
      <c r="H123" s="37">
        <v>25.0</v>
      </c>
      <c r="I123" s="53">
        <v>1.710004543E9</v>
      </c>
      <c r="J123" s="53" t="s">
        <v>45</v>
      </c>
      <c r="K123" s="61">
        <v>46331.0</v>
      </c>
      <c r="L123" s="36">
        <v>7.10000391E9</v>
      </c>
      <c r="M123" s="36" t="str">
        <f t="shared" si="26"/>
        <v>SUDAH PO</v>
      </c>
      <c r="N123" s="37" t="s">
        <v>55</v>
      </c>
      <c r="O123" s="38" t="str">
        <f t="shared" si="27"/>
        <v>CLOSE</v>
      </c>
      <c r="P123" s="33" t="s">
        <v>204</v>
      </c>
      <c r="Q123" s="33">
        <v>25.0</v>
      </c>
      <c r="R123" s="37">
        <f t="shared" si="21"/>
        <v>0</v>
      </c>
    </row>
    <row r="124">
      <c r="A124" s="38" t="s">
        <v>118</v>
      </c>
      <c r="B124" s="30" t="s">
        <v>177</v>
      </c>
      <c r="C124" s="48" t="s">
        <v>119</v>
      </c>
      <c r="D124" s="48" t="s">
        <v>142</v>
      </c>
      <c r="E124" s="32">
        <v>51.0</v>
      </c>
      <c r="F124" s="32" t="s">
        <v>117</v>
      </c>
      <c r="G124" s="32" t="s">
        <v>71</v>
      </c>
      <c r="H124" s="37">
        <v>51.0</v>
      </c>
      <c r="I124" s="53">
        <v>1.710004543E9</v>
      </c>
      <c r="J124" s="58" t="s">
        <v>206</v>
      </c>
      <c r="K124" s="61">
        <v>46331.0</v>
      </c>
      <c r="L124" s="36">
        <v>7.1000039E9</v>
      </c>
      <c r="M124" s="36" t="str">
        <f t="shared" si="26"/>
        <v>SUDAH PO</v>
      </c>
      <c r="N124" s="33" t="s">
        <v>55</v>
      </c>
      <c r="O124" s="38" t="str">
        <f t="shared" si="27"/>
        <v>CLOSE</v>
      </c>
      <c r="P124" s="33" t="s">
        <v>204</v>
      </c>
      <c r="Q124" s="33">
        <v>51.0</v>
      </c>
      <c r="R124" s="37">
        <f t="shared" si="21"/>
        <v>0</v>
      </c>
    </row>
    <row r="125">
      <c r="A125" s="74"/>
      <c r="B125" s="30" t="s">
        <v>177</v>
      </c>
      <c r="C125" s="47" t="s">
        <v>144</v>
      </c>
      <c r="D125" s="47" t="s">
        <v>105</v>
      </c>
      <c r="E125" s="71" t="s">
        <v>207</v>
      </c>
      <c r="F125" s="38" t="s">
        <v>106</v>
      </c>
      <c r="G125" s="37"/>
      <c r="H125" s="37"/>
      <c r="I125" s="37"/>
      <c r="J125" s="38"/>
      <c r="K125" s="78"/>
      <c r="L125" s="36"/>
      <c r="M125" s="36" t="str">
        <f t="shared" si="26"/>
        <v>BELUM PO</v>
      </c>
      <c r="N125" s="37"/>
      <c r="O125" s="38" t="str">
        <f t="shared" si="27"/>
        <v>BELUM DATANG</v>
      </c>
      <c r="P125" s="37"/>
      <c r="Q125" s="37"/>
      <c r="R125" s="37">
        <f t="shared" si="21"/>
        <v>0</v>
      </c>
    </row>
    <row r="126">
      <c r="A126" s="38" t="s">
        <v>208</v>
      </c>
      <c r="B126" s="30" t="s">
        <v>177</v>
      </c>
      <c r="C126" s="48" t="s">
        <v>108</v>
      </c>
      <c r="D126" s="48" t="s">
        <v>109</v>
      </c>
      <c r="E126" s="60">
        <v>1075.0</v>
      </c>
      <c r="F126" s="38" t="s">
        <v>110</v>
      </c>
      <c r="G126" s="32" t="s">
        <v>71</v>
      </c>
      <c r="H126" s="53">
        <v>1075.0</v>
      </c>
      <c r="I126" s="34">
        <v>1.710004543E9</v>
      </c>
      <c r="J126" s="34" t="s">
        <v>46</v>
      </c>
      <c r="K126" s="35">
        <v>46331.0</v>
      </c>
      <c r="L126" s="33">
        <v>7.100003897E9</v>
      </c>
      <c r="M126" s="36" t="str">
        <f t="shared" si="26"/>
        <v>SUDAH PO</v>
      </c>
      <c r="N126" s="56">
        <v>45966.0</v>
      </c>
      <c r="O126" s="38" t="str">
        <f t="shared" si="27"/>
        <v>BELUM DATANG</v>
      </c>
      <c r="P126" s="37"/>
      <c r="Q126" s="37"/>
      <c r="R126" s="37">
        <f t="shared" si="21"/>
        <v>-1075</v>
      </c>
    </row>
    <row r="127">
      <c r="A127" s="38" t="s">
        <v>111</v>
      </c>
      <c r="B127" s="30" t="s">
        <v>177</v>
      </c>
      <c r="C127" s="48" t="s">
        <v>112</v>
      </c>
      <c r="D127" s="48" t="s">
        <v>113</v>
      </c>
      <c r="E127" s="32">
        <v>1075.0</v>
      </c>
      <c r="F127" s="32" t="s">
        <v>110</v>
      </c>
      <c r="G127" s="32" t="s">
        <v>71</v>
      </c>
      <c r="H127" s="32">
        <v>1075.0</v>
      </c>
      <c r="I127" s="53">
        <v>1.710004599E9</v>
      </c>
      <c r="J127" s="58" t="s">
        <v>64</v>
      </c>
      <c r="K127" s="34" t="s">
        <v>209</v>
      </c>
      <c r="L127" s="36"/>
      <c r="M127" s="36" t="str">
        <f t="shared" si="26"/>
        <v>BELUM PO</v>
      </c>
      <c r="N127" s="37"/>
      <c r="O127" s="38" t="str">
        <f t="shared" si="27"/>
        <v>BELUM DATANG</v>
      </c>
      <c r="P127" s="37"/>
      <c r="Q127" s="37"/>
      <c r="R127" s="37">
        <f t="shared" si="21"/>
        <v>-1075</v>
      </c>
    </row>
    <row r="128">
      <c r="A128" s="38" t="s">
        <v>114</v>
      </c>
      <c r="B128" s="30" t="s">
        <v>177</v>
      </c>
      <c r="C128" s="48" t="s">
        <v>115</v>
      </c>
      <c r="D128" s="48" t="s">
        <v>116</v>
      </c>
      <c r="E128" s="32">
        <v>129.0</v>
      </c>
      <c r="F128" s="32" t="s">
        <v>117</v>
      </c>
      <c r="G128" s="32" t="s">
        <v>71</v>
      </c>
      <c r="H128" s="37">
        <v>129.0</v>
      </c>
      <c r="I128" s="53">
        <v>1.710004543E9</v>
      </c>
      <c r="J128" s="58" t="s">
        <v>45</v>
      </c>
      <c r="K128" s="61">
        <v>46331.0</v>
      </c>
      <c r="L128" s="36">
        <v>7.10000391E9</v>
      </c>
      <c r="M128" s="36" t="str">
        <f t="shared" si="26"/>
        <v>SUDAH PO</v>
      </c>
      <c r="N128" s="37" t="s">
        <v>55</v>
      </c>
      <c r="O128" s="38" t="str">
        <f t="shared" si="27"/>
        <v>CLOSE</v>
      </c>
      <c r="P128" s="33" t="s">
        <v>204</v>
      </c>
      <c r="Q128" s="33">
        <v>129.0</v>
      </c>
      <c r="R128" s="37">
        <f t="shared" si="21"/>
        <v>0</v>
      </c>
    </row>
    <row r="129">
      <c r="A129" s="38" t="s">
        <v>118</v>
      </c>
      <c r="B129" s="30" t="s">
        <v>177</v>
      </c>
      <c r="C129" s="48" t="s">
        <v>119</v>
      </c>
      <c r="D129" s="48" t="s">
        <v>120</v>
      </c>
      <c r="E129" s="32">
        <v>22.0</v>
      </c>
      <c r="F129" s="32" t="s">
        <v>117</v>
      </c>
      <c r="G129" s="32" t="s">
        <v>71</v>
      </c>
      <c r="H129" s="53">
        <v>22.0</v>
      </c>
      <c r="I129" s="53">
        <v>1.710004543E9</v>
      </c>
      <c r="J129" s="58" t="s">
        <v>210</v>
      </c>
      <c r="K129" s="61">
        <v>46331.0</v>
      </c>
      <c r="L129" s="36">
        <v>7.1000039E9</v>
      </c>
      <c r="M129" s="36" t="str">
        <f t="shared" si="26"/>
        <v>SUDAH PO</v>
      </c>
      <c r="N129" s="33" t="s">
        <v>55</v>
      </c>
      <c r="O129" s="38" t="str">
        <f t="shared" si="27"/>
        <v>CLOSE</v>
      </c>
      <c r="P129" s="33" t="s">
        <v>204</v>
      </c>
      <c r="Q129" s="33">
        <v>22.0</v>
      </c>
      <c r="R129" s="37">
        <f t="shared" si="21"/>
        <v>0</v>
      </c>
    </row>
    <row r="130">
      <c r="A130" s="75" t="s">
        <v>122</v>
      </c>
      <c r="B130" s="30" t="s">
        <v>177</v>
      </c>
      <c r="C130" s="76" t="s">
        <v>123</v>
      </c>
      <c r="D130" s="48" t="s">
        <v>124</v>
      </c>
      <c r="E130" s="32">
        <v>150.0</v>
      </c>
      <c r="F130" s="32" t="s">
        <v>10</v>
      </c>
      <c r="G130" s="32" t="s">
        <v>71</v>
      </c>
      <c r="H130" s="37">
        <v>150.0</v>
      </c>
      <c r="I130" s="53">
        <v>1.710004599E9</v>
      </c>
      <c r="J130" s="58" t="s">
        <v>64</v>
      </c>
      <c r="K130" s="35">
        <v>46301.0</v>
      </c>
      <c r="L130" s="33">
        <v>7.100003944E9</v>
      </c>
      <c r="M130" s="36" t="str">
        <f t="shared" si="26"/>
        <v>SUDAH PO</v>
      </c>
      <c r="N130" s="56">
        <v>46208.0</v>
      </c>
      <c r="O130" s="38" t="str">
        <f t="shared" si="27"/>
        <v>BELUM DATANG</v>
      </c>
      <c r="P130" s="37"/>
      <c r="Q130" s="37"/>
      <c r="R130" s="37">
        <f t="shared" si="21"/>
        <v>-150</v>
      </c>
    </row>
    <row r="131">
      <c r="A131" s="74"/>
      <c r="B131" s="30" t="s">
        <v>177</v>
      </c>
      <c r="C131" s="47" t="s">
        <v>147</v>
      </c>
      <c r="D131" s="47" t="s">
        <v>138</v>
      </c>
      <c r="E131" s="38">
        <v>25.0</v>
      </c>
      <c r="F131" s="38" t="s">
        <v>106</v>
      </c>
      <c r="G131" s="37"/>
      <c r="H131" s="37"/>
      <c r="I131" s="37"/>
      <c r="J131" s="38"/>
      <c r="K131" s="38"/>
      <c r="L131" s="36"/>
      <c r="M131" s="36"/>
      <c r="N131" s="37"/>
      <c r="O131" s="38"/>
      <c r="P131" s="37"/>
      <c r="Q131" s="37"/>
      <c r="R131" s="37"/>
    </row>
    <row r="132">
      <c r="A132" s="38" t="s">
        <v>211</v>
      </c>
      <c r="B132" s="30" t="s">
        <v>177</v>
      </c>
      <c r="C132" s="48" t="s">
        <v>140</v>
      </c>
      <c r="D132" s="48" t="s">
        <v>109</v>
      </c>
      <c r="E132" s="60">
        <v>316.0</v>
      </c>
      <c r="F132" s="38" t="s">
        <v>110</v>
      </c>
      <c r="G132" s="32" t="s">
        <v>71</v>
      </c>
      <c r="H132" s="53">
        <v>316.0</v>
      </c>
      <c r="I132" s="34">
        <v>1.710004543E9</v>
      </c>
      <c r="J132" s="35">
        <v>46208.0</v>
      </c>
      <c r="K132" s="35">
        <v>46301.0</v>
      </c>
      <c r="L132" s="33">
        <v>7.100003947E9</v>
      </c>
      <c r="M132" s="36" t="str">
        <f t="shared" ref="M132:M139" si="28">IF(LEN(L132)=10,"SUDAH PO",IF(L132="STOK","READY STOK",IF(L132="PL","READY STOK","BELUM PO")))</f>
        <v>SUDAH PO</v>
      </c>
      <c r="N132" s="33" t="s">
        <v>78</v>
      </c>
      <c r="O132" s="38" t="str">
        <f t="shared" ref="O132:O139" si="29">IF(H132="STOK","STOK",IF(ISBLANK(P132),"BELUM DATANG",IF(R132=0,"CLOSE","DATANG SEBAGIAN")))</f>
        <v>BELUM DATANG</v>
      </c>
      <c r="P132" s="37"/>
      <c r="Q132" s="37"/>
      <c r="R132" s="37">
        <f t="shared" ref="R132:R137" si="30">Q132-H132</f>
        <v>-316</v>
      </c>
    </row>
    <row r="133">
      <c r="A133" s="38" t="s">
        <v>111</v>
      </c>
      <c r="B133" s="30" t="s">
        <v>177</v>
      </c>
      <c r="C133" s="48" t="s">
        <v>112</v>
      </c>
      <c r="D133" s="48" t="s">
        <v>141</v>
      </c>
      <c r="E133" s="32">
        <v>316.0</v>
      </c>
      <c r="F133" s="32" t="s">
        <v>110</v>
      </c>
      <c r="G133" s="32" t="s">
        <v>71</v>
      </c>
      <c r="H133" s="32">
        <v>316.0</v>
      </c>
      <c r="I133" s="53">
        <v>1.710004599E9</v>
      </c>
      <c r="J133" s="58" t="s">
        <v>64</v>
      </c>
      <c r="K133" s="58" t="s">
        <v>56</v>
      </c>
      <c r="L133" s="36"/>
      <c r="M133" s="36" t="str">
        <f t="shared" si="28"/>
        <v>BELUM PO</v>
      </c>
      <c r="N133" s="37"/>
      <c r="O133" s="38" t="str">
        <f t="shared" si="29"/>
        <v>BELUM DATANG</v>
      </c>
      <c r="P133" s="37"/>
      <c r="Q133" s="37"/>
      <c r="R133" s="37">
        <f t="shared" si="30"/>
        <v>-316</v>
      </c>
    </row>
    <row r="134">
      <c r="A134" s="38" t="s">
        <v>114</v>
      </c>
      <c r="B134" s="30" t="s">
        <v>177</v>
      </c>
      <c r="C134" s="48" t="s">
        <v>115</v>
      </c>
      <c r="D134" s="48" t="s">
        <v>116</v>
      </c>
      <c r="E134" s="32">
        <v>23.0</v>
      </c>
      <c r="F134" s="32" t="s">
        <v>117</v>
      </c>
      <c r="G134" s="32" t="s">
        <v>71</v>
      </c>
      <c r="H134" s="37">
        <v>23.0</v>
      </c>
      <c r="I134" s="53">
        <v>1.710004543E9</v>
      </c>
      <c r="J134" s="58" t="s">
        <v>45</v>
      </c>
      <c r="K134" s="61">
        <v>46331.0</v>
      </c>
      <c r="L134" s="36">
        <v>7.10000391E9</v>
      </c>
      <c r="M134" s="36" t="str">
        <f t="shared" si="28"/>
        <v>SUDAH PO</v>
      </c>
      <c r="N134" s="37" t="s">
        <v>55</v>
      </c>
      <c r="O134" s="38" t="str">
        <f t="shared" si="29"/>
        <v>CLOSE</v>
      </c>
      <c r="P134" s="33" t="s">
        <v>204</v>
      </c>
      <c r="Q134" s="33">
        <v>23.0</v>
      </c>
      <c r="R134" s="37">
        <f t="shared" si="30"/>
        <v>0</v>
      </c>
    </row>
    <row r="135">
      <c r="A135" s="38" t="s">
        <v>118</v>
      </c>
      <c r="B135" s="30" t="s">
        <v>177</v>
      </c>
      <c r="C135" s="48" t="s">
        <v>119</v>
      </c>
      <c r="D135" s="48" t="s">
        <v>142</v>
      </c>
      <c r="E135" s="32">
        <v>23.0</v>
      </c>
      <c r="F135" s="32" t="s">
        <v>117</v>
      </c>
      <c r="G135" s="32" t="s">
        <v>71</v>
      </c>
      <c r="H135" s="37">
        <v>23.0</v>
      </c>
      <c r="I135" s="53">
        <v>1.710004543E9</v>
      </c>
      <c r="J135" s="58" t="s">
        <v>212</v>
      </c>
      <c r="K135" s="61">
        <v>46331.0</v>
      </c>
      <c r="L135" s="36">
        <v>7.1000039E9</v>
      </c>
      <c r="M135" s="36" t="str">
        <f t="shared" si="28"/>
        <v>SUDAH PO</v>
      </c>
      <c r="N135" s="33" t="s">
        <v>55</v>
      </c>
      <c r="O135" s="38" t="str">
        <f t="shared" si="29"/>
        <v>CLOSE</v>
      </c>
      <c r="P135" s="33" t="s">
        <v>204</v>
      </c>
      <c r="Q135" s="33">
        <v>23.0</v>
      </c>
      <c r="R135" s="37">
        <f t="shared" si="30"/>
        <v>0</v>
      </c>
    </row>
    <row r="136">
      <c r="A136" s="38" t="s">
        <v>150</v>
      </c>
      <c r="B136" s="30" t="s">
        <v>177</v>
      </c>
      <c r="C136" s="48" t="s">
        <v>213</v>
      </c>
      <c r="D136" s="48" t="s">
        <v>152</v>
      </c>
      <c r="E136" s="38">
        <v>103.0</v>
      </c>
      <c r="F136" s="38" t="s">
        <v>44</v>
      </c>
      <c r="G136" s="37"/>
      <c r="H136" s="81">
        <f t="shared" ref="H136:H137" si="31">E136/2.4</f>
        <v>42.91666667</v>
      </c>
      <c r="I136" s="53">
        <v>1.710004543E9</v>
      </c>
      <c r="J136" s="58" t="s">
        <v>45</v>
      </c>
      <c r="K136" s="55">
        <v>46331.0</v>
      </c>
      <c r="L136" s="33">
        <v>7.100003899E9</v>
      </c>
      <c r="M136" s="36" t="str">
        <f t="shared" si="28"/>
        <v>SUDAH PO</v>
      </c>
      <c r="N136" s="33" t="s">
        <v>153</v>
      </c>
      <c r="O136" s="38" t="str">
        <f t="shared" si="29"/>
        <v>DATANG SEBAGIAN</v>
      </c>
      <c r="P136" s="56">
        <v>46239.0</v>
      </c>
      <c r="Q136" s="33">
        <v>43.0</v>
      </c>
      <c r="R136" s="70">
        <f t="shared" si="30"/>
        <v>0.08333333333</v>
      </c>
    </row>
    <row r="137">
      <c r="A137" s="38" t="s">
        <v>150</v>
      </c>
      <c r="B137" s="30" t="s">
        <v>177</v>
      </c>
      <c r="C137" s="48" t="s">
        <v>214</v>
      </c>
      <c r="D137" s="48" t="s">
        <v>152</v>
      </c>
      <c r="E137" s="38">
        <v>103.0</v>
      </c>
      <c r="F137" s="38" t="s">
        <v>44</v>
      </c>
      <c r="G137" s="37"/>
      <c r="H137" s="81">
        <f t="shared" si="31"/>
        <v>42.91666667</v>
      </c>
      <c r="I137" s="53">
        <v>1.710004543E9</v>
      </c>
      <c r="J137" s="58" t="s">
        <v>45</v>
      </c>
      <c r="K137" s="55">
        <v>46331.0</v>
      </c>
      <c r="L137" s="33">
        <v>7.100003899E9</v>
      </c>
      <c r="M137" s="36" t="str">
        <f t="shared" si="28"/>
        <v>SUDAH PO</v>
      </c>
      <c r="N137" s="33" t="s">
        <v>153</v>
      </c>
      <c r="O137" s="38" t="str">
        <f t="shared" si="29"/>
        <v>DATANG SEBAGIAN</v>
      </c>
      <c r="P137" s="56">
        <v>46239.0</v>
      </c>
      <c r="Q137" s="33">
        <v>43.0</v>
      </c>
      <c r="R137" s="70">
        <f t="shared" si="30"/>
        <v>0.08333333333</v>
      </c>
    </row>
    <row r="138">
      <c r="A138" s="82" t="s">
        <v>155</v>
      </c>
      <c r="B138" s="30" t="s">
        <v>177</v>
      </c>
      <c r="C138" s="48" t="s">
        <v>156</v>
      </c>
      <c r="D138" s="48" t="s">
        <v>157</v>
      </c>
      <c r="E138" s="38">
        <v>92.0</v>
      </c>
      <c r="F138" s="38" t="s">
        <v>10</v>
      </c>
      <c r="G138" s="37"/>
      <c r="H138" s="83" t="s">
        <v>158</v>
      </c>
      <c r="I138" s="37"/>
      <c r="J138" s="38"/>
      <c r="K138" s="38"/>
      <c r="L138" s="33" t="s">
        <v>159</v>
      </c>
      <c r="M138" s="36" t="str">
        <f t="shared" si="28"/>
        <v>READY STOK</v>
      </c>
      <c r="N138" s="37"/>
      <c r="O138" s="38" t="str">
        <f t="shared" si="29"/>
        <v>BELUM DATANG</v>
      </c>
      <c r="P138" s="37"/>
      <c r="Q138" s="37"/>
      <c r="R138" s="37">
        <f>Q138-G138</f>
        <v>0</v>
      </c>
    </row>
    <row r="139">
      <c r="A139" s="57" t="s">
        <v>215</v>
      </c>
      <c r="B139" s="30" t="s">
        <v>177</v>
      </c>
      <c r="C139" s="84" t="s">
        <v>216</v>
      </c>
      <c r="D139" s="48" t="s">
        <v>162</v>
      </c>
      <c r="E139" s="57">
        <v>1.0</v>
      </c>
      <c r="F139" s="57" t="s">
        <v>163</v>
      </c>
      <c r="G139" s="85" t="s">
        <v>71</v>
      </c>
      <c r="H139" s="85">
        <v>1.0</v>
      </c>
      <c r="I139" s="85">
        <v>1.710004599E9</v>
      </c>
      <c r="J139" s="57" t="s">
        <v>64</v>
      </c>
      <c r="K139" s="87">
        <v>46301.0</v>
      </c>
      <c r="L139" s="86"/>
      <c r="M139" s="86" t="str">
        <f t="shared" si="28"/>
        <v>BELUM PO</v>
      </c>
      <c r="N139" s="85"/>
      <c r="O139" s="88" t="str">
        <f t="shared" si="29"/>
        <v>BELUM DATANG</v>
      </c>
      <c r="P139" s="85"/>
      <c r="Q139" s="85"/>
      <c r="R139" s="85">
        <f>Q139-H139</f>
        <v>-1</v>
      </c>
    </row>
    <row r="140">
      <c r="A140" s="89"/>
      <c r="B140" s="30" t="s">
        <v>177</v>
      </c>
      <c r="C140" s="89"/>
      <c r="D140" s="48" t="s">
        <v>164</v>
      </c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</row>
    <row r="141">
      <c r="A141" s="89"/>
      <c r="B141" s="30" t="s">
        <v>177</v>
      </c>
      <c r="C141" s="89"/>
      <c r="D141" s="48" t="s">
        <v>165</v>
      </c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</row>
    <row r="142">
      <c r="A142" s="89"/>
      <c r="B142" s="30" t="s">
        <v>177</v>
      </c>
      <c r="C142" s="89"/>
      <c r="D142" s="48" t="s">
        <v>166</v>
      </c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</row>
    <row r="143">
      <c r="A143" s="89"/>
      <c r="B143" s="30" t="s">
        <v>177</v>
      </c>
      <c r="C143" s="89"/>
      <c r="D143" s="48" t="s">
        <v>167</v>
      </c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</row>
    <row r="144">
      <c r="A144" s="89"/>
      <c r="B144" s="30" t="s">
        <v>177</v>
      </c>
      <c r="C144" s="89"/>
      <c r="D144" s="48" t="s">
        <v>168</v>
      </c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</row>
    <row r="145">
      <c r="A145" s="89"/>
      <c r="B145" s="30" t="s">
        <v>177</v>
      </c>
      <c r="C145" s="89"/>
      <c r="D145" s="48" t="s">
        <v>169</v>
      </c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</row>
    <row r="146">
      <c r="A146" s="89"/>
      <c r="B146" s="30" t="s">
        <v>177</v>
      </c>
      <c r="C146" s="89"/>
      <c r="D146" s="48" t="s">
        <v>170</v>
      </c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</row>
    <row r="147">
      <c r="A147" s="89"/>
      <c r="B147" s="30" t="s">
        <v>177</v>
      </c>
      <c r="C147" s="89"/>
      <c r="D147" s="48" t="s">
        <v>171</v>
      </c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</row>
    <row r="148">
      <c r="A148" s="18"/>
      <c r="B148" s="30" t="s">
        <v>177</v>
      </c>
      <c r="C148" s="18"/>
      <c r="D148" s="48" t="s">
        <v>172</v>
      </c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</row>
    <row r="149">
      <c r="A149" s="33" t="s">
        <v>217</v>
      </c>
      <c r="B149" s="30" t="s">
        <v>177</v>
      </c>
      <c r="C149" s="48" t="s">
        <v>80</v>
      </c>
      <c r="D149" s="48" t="s">
        <v>174</v>
      </c>
      <c r="E149" s="33">
        <v>32.0</v>
      </c>
      <c r="F149" s="38" t="s">
        <v>10</v>
      </c>
      <c r="G149" s="37"/>
      <c r="H149" s="34">
        <v>32.0</v>
      </c>
      <c r="I149" s="53">
        <v>1.710004599E9</v>
      </c>
      <c r="J149" s="58" t="s">
        <v>55</v>
      </c>
      <c r="K149" s="35">
        <v>46301.0</v>
      </c>
      <c r="L149" s="36"/>
      <c r="M149" s="36" t="str">
        <f t="shared" ref="M149:M152" si="32">IF(LEN(L149)=10,"SUDAH PO",IF(L149="STOK","READY STOK",IF(L149="PL","READY STOK","BELUM PO")))</f>
        <v>BELUM PO</v>
      </c>
      <c r="N149" s="37"/>
      <c r="O149" s="38" t="str">
        <f t="shared" ref="O149:O152" si="33">IF(H149="STOK","STOK",IF(ISBLANK(P149),"BELUM DATANG",IF(R149=0,"CLOSE","DATANG SEBAGIAN")))</f>
        <v>BELUM DATANG</v>
      </c>
      <c r="P149" s="37"/>
      <c r="Q149" s="37"/>
      <c r="R149" s="37">
        <f t="shared" ref="R149:R152" si="34">Q149-H149</f>
        <v>-32</v>
      </c>
    </row>
    <row r="150">
      <c r="A150" s="33" t="s">
        <v>218</v>
      </c>
      <c r="B150" s="30" t="s">
        <v>177</v>
      </c>
      <c r="C150" s="48" t="s">
        <v>80</v>
      </c>
      <c r="D150" s="48" t="s">
        <v>176</v>
      </c>
      <c r="E150" s="38">
        <v>2.0</v>
      </c>
      <c r="F150" s="38" t="s">
        <v>10</v>
      </c>
      <c r="G150" s="37"/>
      <c r="H150" s="33">
        <v>2.0</v>
      </c>
      <c r="I150" s="33">
        <v>1.710004644E9</v>
      </c>
      <c r="J150" s="35">
        <v>46059.0</v>
      </c>
      <c r="K150" s="35">
        <v>46301.0</v>
      </c>
      <c r="L150" s="36"/>
      <c r="M150" s="36" t="str">
        <f t="shared" si="32"/>
        <v>BELUM PO</v>
      </c>
      <c r="N150" s="37"/>
      <c r="O150" s="38" t="str">
        <f t="shared" si="33"/>
        <v>BELUM DATANG</v>
      </c>
      <c r="P150" s="37"/>
      <c r="Q150" s="37"/>
      <c r="R150" s="37">
        <f t="shared" si="34"/>
        <v>-2</v>
      </c>
    </row>
    <row r="151">
      <c r="A151" s="29" t="s">
        <v>23</v>
      </c>
      <c r="B151" s="30" t="s">
        <v>177</v>
      </c>
      <c r="C151" s="31" t="s">
        <v>25</v>
      </c>
      <c r="D151" s="31" t="s">
        <v>25</v>
      </c>
      <c r="E151" s="40">
        <v>35.0</v>
      </c>
      <c r="F151" s="40" t="s">
        <v>26</v>
      </c>
      <c r="G151" s="40" t="s">
        <v>27</v>
      </c>
      <c r="H151" s="33">
        <v>35.0</v>
      </c>
      <c r="I151" s="34">
        <v>1.710004644E9</v>
      </c>
      <c r="J151" s="35">
        <v>46059.0</v>
      </c>
      <c r="K151" s="34" t="s">
        <v>28</v>
      </c>
      <c r="L151" s="36"/>
      <c r="M151" s="36" t="str">
        <f t="shared" si="32"/>
        <v>BELUM PO</v>
      </c>
      <c r="N151" s="37"/>
      <c r="O151" s="38" t="str">
        <f t="shared" si="33"/>
        <v>BELUM DATANG</v>
      </c>
      <c r="P151" s="37"/>
      <c r="Q151" s="37"/>
      <c r="R151" s="37">
        <f t="shared" si="34"/>
        <v>-35</v>
      </c>
    </row>
    <row r="152">
      <c r="A152" s="39" t="s">
        <v>23</v>
      </c>
      <c r="B152" s="30" t="s">
        <v>177</v>
      </c>
      <c r="C152" s="31" t="s">
        <v>25</v>
      </c>
      <c r="D152" s="31" t="s">
        <v>25</v>
      </c>
      <c r="E152" s="40">
        <v>35.0</v>
      </c>
      <c r="F152" s="40" t="s">
        <v>26</v>
      </c>
      <c r="G152" s="40" t="s">
        <v>27</v>
      </c>
      <c r="H152" s="33">
        <v>35.0</v>
      </c>
      <c r="I152" s="34">
        <v>1.710004644E9</v>
      </c>
      <c r="J152" s="35">
        <v>46059.0</v>
      </c>
      <c r="K152" s="34" t="s">
        <v>28</v>
      </c>
      <c r="L152" s="36"/>
      <c r="M152" s="36" t="str">
        <f t="shared" si="32"/>
        <v>BELUM PO</v>
      </c>
      <c r="N152" s="37"/>
      <c r="O152" s="38" t="str">
        <f t="shared" si="33"/>
        <v>BELUM DATANG</v>
      </c>
      <c r="P152" s="37"/>
      <c r="Q152" s="37"/>
      <c r="R152" s="37">
        <f t="shared" si="34"/>
        <v>-35</v>
      </c>
    </row>
    <row r="153">
      <c r="A153" s="41"/>
      <c r="B153" s="42"/>
      <c r="C153" s="42"/>
      <c r="D153" s="42"/>
      <c r="E153" s="42"/>
      <c r="F153" s="42"/>
      <c r="G153" s="43"/>
      <c r="H153" s="44"/>
      <c r="I153" s="44"/>
      <c r="J153" s="24"/>
      <c r="K153" s="25"/>
      <c r="L153" s="25"/>
      <c r="M153" s="25"/>
      <c r="N153" s="44"/>
      <c r="O153" s="24"/>
      <c r="P153" s="44"/>
      <c r="Q153" s="44"/>
      <c r="R153" s="44"/>
    </row>
    <row r="154">
      <c r="A154" s="74"/>
      <c r="B154" s="30" t="s">
        <v>24</v>
      </c>
      <c r="C154" s="48" t="s">
        <v>38</v>
      </c>
      <c r="D154" s="48" t="s">
        <v>39</v>
      </c>
      <c r="E154" s="38">
        <v>1.0</v>
      </c>
      <c r="F154" s="38" t="s">
        <v>40</v>
      </c>
      <c r="G154" s="37"/>
      <c r="H154" s="37"/>
      <c r="I154" s="37"/>
      <c r="J154" s="38"/>
      <c r="K154" s="36"/>
      <c r="L154" s="36"/>
      <c r="M154" s="36" t="str">
        <f t="shared" ref="M154:M238" si="35">IF(LEN(L154)=10,"SUDAH PO",IF(L154="STOK","READY STOK",IF(L154="PL","READY STOK","BELUM PO")))</f>
        <v>BELUM PO</v>
      </c>
      <c r="N154" s="37"/>
      <c r="O154" s="38" t="str">
        <f t="shared" ref="O154:O238" si="36">IF(H154="STOK","STOK",IF(ISBLANK(P154),"BELUM DATANG",IF(R154=0,"CLOSE","DATANG SEBAGIAN")))</f>
        <v>BELUM DATANG</v>
      </c>
      <c r="P154" s="37"/>
      <c r="Q154" s="37"/>
      <c r="R154" s="37">
        <f t="shared" ref="R154:R236" si="37">Q154-H154</f>
        <v>0</v>
      </c>
    </row>
    <row r="155">
      <c r="A155" s="38" t="s">
        <v>219</v>
      </c>
      <c r="B155" s="30" t="s">
        <v>24</v>
      </c>
      <c r="C155" s="48" t="s">
        <v>220</v>
      </c>
      <c r="D155" s="48" t="s">
        <v>43</v>
      </c>
      <c r="E155" s="38">
        <v>6.0</v>
      </c>
      <c r="F155" s="38" t="s">
        <v>44</v>
      </c>
      <c r="G155" s="33">
        <v>0.0</v>
      </c>
      <c r="H155" s="37">
        <v>6.0</v>
      </c>
      <c r="I155" s="53">
        <v>1.710004543E9</v>
      </c>
      <c r="J155" s="58" t="s">
        <v>45</v>
      </c>
      <c r="K155" s="55">
        <v>46331.0</v>
      </c>
      <c r="L155" s="36">
        <v>7.100003897E9</v>
      </c>
      <c r="M155" s="36" t="str">
        <f t="shared" si="35"/>
        <v>SUDAH PO</v>
      </c>
      <c r="N155" s="37" t="s">
        <v>46</v>
      </c>
      <c r="O155" s="38" t="str">
        <f t="shared" si="36"/>
        <v>CLOSE</v>
      </c>
      <c r="P155" s="56">
        <v>46118.0</v>
      </c>
      <c r="Q155" s="33">
        <v>6.0</v>
      </c>
      <c r="R155" s="37">
        <f t="shared" si="37"/>
        <v>0</v>
      </c>
    </row>
    <row r="156">
      <c r="A156" s="38" t="s">
        <v>221</v>
      </c>
      <c r="B156" s="30" t="s">
        <v>24</v>
      </c>
      <c r="C156" s="48" t="s">
        <v>220</v>
      </c>
      <c r="D156" s="48" t="s">
        <v>48</v>
      </c>
      <c r="E156" s="32">
        <v>6.0</v>
      </c>
      <c r="F156" s="38" t="s">
        <v>44</v>
      </c>
      <c r="G156" s="32">
        <v>0.0</v>
      </c>
      <c r="H156" s="37">
        <v>6.0</v>
      </c>
      <c r="I156" s="53">
        <v>1.710004543E9</v>
      </c>
      <c r="J156" s="58" t="s">
        <v>45</v>
      </c>
      <c r="K156" s="35">
        <v>45966.0</v>
      </c>
      <c r="L156" s="36">
        <v>7.100003897E9</v>
      </c>
      <c r="M156" s="36" t="str">
        <f t="shared" si="35"/>
        <v>SUDAH PO</v>
      </c>
      <c r="N156" s="56">
        <v>46331.0</v>
      </c>
      <c r="O156" s="38" t="str">
        <f t="shared" si="36"/>
        <v>CLOSE</v>
      </c>
      <c r="P156" s="56">
        <v>46118.0</v>
      </c>
      <c r="Q156" s="33">
        <v>6.0</v>
      </c>
      <c r="R156" s="37">
        <f t="shared" si="37"/>
        <v>0</v>
      </c>
    </row>
    <row r="157">
      <c r="A157" s="38" t="s">
        <v>222</v>
      </c>
      <c r="B157" s="30" t="s">
        <v>24</v>
      </c>
      <c r="C157" s="48" t="s">
        <v>223</v>
      </c>
      <c r="D157" s="48" t="s">
        <v>43</v>
      </c>
      <c r="E157" s="33">
        <v>27.0</v>
      </c>
      <c r="F157" s="38" t="s">
        <v>44</v>
      </c>
      <c r="G157" s="33" t="s">
        <v>27</v>
      </c>
      <c r="H157" s="33">
        <v>27.0</v>
      </c>
      <c r="I157" s="53">
        <v>1.710004543E9</v>
      </c>
      <c r="J157" s="58" t="s">
        <v>45</v>
      </c>
      <c r="K157" s="55">
        <v>46331.0</v>
      </c>
      <c r="L157" s="36">
        <v>7.100003897E9</v>
      </c>
      <c r="M157" s="36" t="str">
        <f t="shared" si="35"/>
        <v>SUDAH PO</v>
      </c>
      <c r="N157" s="37" t="s">
        <v>46</v>
      </c>
      <c r="O157" s="38" t="str">
        <f t="shared" si="36"/>
        <v>CLOSE</v>
      </c>
      <c r="P157" s="56">
        <v>46118.0</v>
      </c>
      <c r="Q157" s="33">
        <v>27.0</v>
      </c>
      <c r="R157" s="37">
        <f t="shared" si="37"/>
        <v>0</v>
      </c>
    </row>
    <row r="158">
      <c r="A158" s="38" t="s">
        <v>224</v>
      </c>
      <c r="B158" s="30" t="s">
        <v>24</v>
      </c>
      <c r="C158" s="48" t="s">
        <v>223</v>
      </c>
      <c r="D158" s="48" t="s">
        <v>48</v>
      </c>
      <c r="E158" s="32">
        <v>27.0</v>
      </c>
      <c r="F158" s="38" t="s">
        <v>44</v>
      </c>
      <c r="G158" s="32" t="s">
        <v>27</v>
      </c>
      <c r="H158" s="33">
        <v>27.0</v>
      </c>
      <c r="I158" s="53">
        <v>1.710004543E9</v>
      </c>
      <c r="J158" s="58" t="s">
        <v>45</v>
      </c>
      <c r="K158" s="35">
        <v>45966.0</v>
      </c>
      <c r="L158" s="36">
        <v>7.100003897E9</v>
      </c>
      <c r="M158" s="36" t="str">
        <f t="shared" si="35"/>
        <v>SUDAH PO</v>
      </c>
      <c r="N158" s="56">
        <v>46331.0</v>
      </c>
      <c r="O158" s="38" t="str">
        <f t="shared" si="36"/>
        <v>CLOSE</v>
      </c>
      <c r="P158" s="56">
        <v>46118.0</v>
      </c>
      <c r="Q158" s="33">
        <v>27.0</v>
      </c>
      <c r="R158" s="37">
        <f t="shared" si="37"/>
        <v>0</v>
      </c>
    </row>
    <row r="159">
      <c r="A159" s="38" t="s">
        <v>225</v>
      </c>
      <c r="B159" s="30" t="s">
        <v>24</v>
      </c>
      <c r="C159" s="48" t="s">
        <v>226</v>
      </c>
      <c r="D159" s="48" t="s">
        <v>43</v>
      </c>
      <c r="E159" s="38">
        <v>6.0</v>
      </c>
      <c r="F159" s="38" t="s">
        <v>44</v>
      </c>
      <c r="G159" s="33">
        <v>0.0</v>
      </c>
      <c r="H159" s="37">
        <v>6.0</v>
      </c>
      <c r="I159" s="53">
        <v>1.710004543E9</v>
      </c>
      <c r="J159" s="58" t="s">
        <v>45</v>
      </c>
      <c r="K159" s="55">
        <v>46331.0</v>
      </c>
      <c r="L159" s="36">
        <v>7.100003897E9</v>
      </c>
      <c r="M159" s="36" t="str">
        <f t="shared" si="35"/>
        <v>SUDAH PO</v>
      </c>
      <c r="N159" s="37" t="s">
        <v>46</v>
      </c>
      <c r="O159" s="38" t="str">
        <f t="shared" si="36"/>
        <v>CLOSE</v>
      </c>
      <c r="P159" s="56">
        <v>46118.0</v>
      </c>
      <c r="Q159" s="33">
        <v>6.0</v>
      </c>
      <c r="R159" s="37">
        <f t="shared" si="37"/>
        <v>0</v>
      </c>
    </row>
    <row r="160">
      <c r="A160" s="38" t="s">
        <v>227</v>
      </c>
      <c r="B160" s="30" t="s">
        <v>24</v>
      </c>
      <c r="C160" s="48" t="s">
        <v>226</v>
      </c>
      <c r="D160" s="48" t="s">
        <v>48</v>
      </c>
      <c r="E160" s="32">
        <v>6.0</v>
      </c>
      <c r="F160" s="38" t="s">
        <v>44</v>
      </c>
      <c r="G160" s="32">
        <v>0.0</v>
      </c>
      <c r="H160" s="37">
        <v>6.0</v>
      </c>
      <c r="I160" s="53">
        <v>1.710004543E9</v>
      </c>
      <c r="J160" s="58" t="s">
        <v>45</v>
      </c>
      <c r="K160" s="35">
        <v>45966.0</v>
      </c>
      <c r="L160" s="36">
        <v>7.100003897E9</v>
      </c>
      <c r="M160" s="36" t="str">
        <f t="shared" si="35"/>
        <v>SUDAH PO</v>
      </c>
      <c r="N160" s="56">
        <v>46331.0</v>
      </c>
      <c r="O160" s="38" t="str">
        <f t="shared" si="36"/>
        <v>CLOSE</v>
      </c>
      <c r="P160" s="56">
        <v>46118.0</v>
      </c>
      <c r="Q160" s="33">
        <v>6.0</v>
      </c>
      <c r="R160" s="37">
        <f t="shared" si="37"/>
        <v>0</v>
      </c>
    </row>
    <row r="161">
      <c r="A161" s="38" t="s">
        <v>228</v>
      </c>
      <c r="B161" s="30" t="s">
        <v>24</v>
      </c>
      <c r="C161" s="48" t="s">
        <v>229</v>
      </c>
      <c r="D161" s="48" t="s">
        <v>43</v>
      </c>
      <c r="E161" s="33">
        <v>27.0</v>
      </c>
      <c r="F161" s="38" t="s">
        <v>44</v>
      </c>
      <c r="G161" s="33" t="s">
        <v>27</v>
      </c>
      <c r="H161" s="33">
        <v>27.0</v>
      </c>
      <c r="I161" s="53">
        <v>1.710004543E9</v>
      </c>
      <c r="J161" s="58" t="s">
        <v>45</v>
      </c>
      <c r="K161" s="55">
        <v>46331.0</v>
      </c>
      <c r="L161" s="36">
        <v>7.100003897E9</v>
      </c>
      <c r="M161" s="36" t="str">
        <f t="shared" si="35"/>
        <v>SUDAH PO</v>
      </c>
      <c r="N161" s="37" t="s">
        <v>46</v>
      </c>
      <c r="O161" s="38" t="str">
        <f t="shared" si="36"/>
        <v>CLOSE</v>
      </c>
      <c r="P161" s="56">
        <v>46118.0</v>
      </c>
      <c r="Q161" s="33">
        <v>27.0</v>
      </c>
      <c r="R161" s="37">
        <f t="shared" si="37"/>
        <v>0</v>
      </c>
    </row>
    <row r="162">
      <c r="A162" s="38" t="s">
        <v>230</v>
      </c>
      <c r="B162" s="30" t="s">
        <v>24</v>
      </c>
      <c r="C162" s="48" t="s">
        <v>229</v>
      </c>
      <c r="D162" s="48" t="s">
        <v>48</v>
      </c>
      <c r="E162" s="32">
        <v>27.0</v>
      </c>
      <c r="F162" s="38" t="s">
        <v>44</v>
      </c>
      <c r="G162" s="32" t="s">
        <v>27</v>
      </c>
      <c r="H162" s="33">
        <v>27.0</v>
      </c>
      <c r="I162" s="53">
        <v>1.710004543E9</v>
      </c>
      <c r="J162" s="58" t="s">
        <v>45</v>
      </c>
      <c r="K162" s="35">
        <v>45966.0</v>
      </c>
      <c r="L162" s="36">
        <v>7.100003897E9</v>
      </c>
      <c r="M162" s="36" t="str">
        <f t="shared" si="35"/>
        <v>SUDAH PO</v>
      </c>
      <c r="N162" s="56">
        <v>46331.0</v>
      </c>
      <c r="O162" s="38" t="str">
        <f t="shared" si="36"/>
        <v>CLOSE</v>
      </c>
      <c r="P162" s="56">
        <v>46118.0</v>
      </c>
      <c r="Q162" s="33">
        <v>27.0</v>
      </c>
      <c r="R162" s="37">
        <f t="shared" si="37"/>
        <v>0</v>
      </c>
    </row>
    <row r="163">
      <c r="A163" s="38" t="s">
        <v>231</v>
      </c>
      <c r="B163" s="30" t="s">
        <v>24</v>
      </c>
      <c r="C163" s="48" t="s">
        <v>232</v>
      </c>
      <c r="D163" s="48" t="s">
        <v>43</v>
      </c>
      <c r="E163" s="38">
        <v>6.0</v>
      </c>
      <c r="F163" s="38" t="s">
        <v>44</v>
      </c>
      <c r="G163" s="33">
        <v>0.0</v>
      </c>
      <c r="H163" s="37">
        <v>6.0</v>
      </c>
      <c r="I163" s="53">
        <v>1.710004543E9</v>
      </c>
      <c r="J163" s="58" t="s">
        <v>45</v>
      </c>
      <c r="K163" s="55">
        <v>46331.0</v>
      </c>
      <c r="L163" s="36">
        <v>7.100003897E9</v>
      </c>
      <c r="M163" s="36" t="str">
        <f t="shared" si="35"/>
        <v>SUDAH PO</v>
      </c>
      <c r="N163" s="37" t="s">
        <v>46</v>
      </c>
      <c r="O163" s="38" t="str">
        <f t="shared" si="36"/>
        <v>CLOSE</v>
      </c>
      <c r="P163" s="56">
        <v>46118.0</v>
      </c>
      <c r="Q163" s="33">
        <v>6.0</v>
      </c>
      <c r="R163" s="37">
        <f t="shared" si="37"/>
        <v>0</v>
      </c>
    </row>
    <row r="164">
      <c r="A164" s="38" t="s">
        <v>233</v>
      </c>
      <c r="B164" s="30" t="s">
        <v>24</v>
      </c>
      <c r="C164" s="48" t="s">
        <v>232</v>
      </c>
      <c r="D164" s="48" t="s">
        <v>48</v>
      </c>
      <c r="E164" s="32">
        <v>6.0</v>
      </c>
      <c r="F164" s="38" t="s">
        <v>44</v>
      </c>
      <c r="G164" s="32">
        <v>0.0</v>
      </c>
      <c r="H164" s="37">
        <v>6.0</v>
      </c>
      <c r="I164" s="53">
        <v>1.710004543E9</v>
      </c>
      <c r="J164" s="58" t="s">
        <v>45</v>
      </c>
      <c r="K164" s="35">
        <v>45966.0</v>
      </c>
      <c r="L164" s="36">
        <v>7.100003897E9</v>
      </c>
      <c r="M164" s="36" t="str">
        <f t="shared" si="35"/>
        <v>SUDAH PO</v>
      </c>
      <c r="N164" s="56">
        <v>46331.0</v>
      </c>
      <c r="O164" s="38" t="str">
        <f t="shared" si="36"/>
        <v>CLOSE</v>
      </c>
      <c r="P164" s="56">
        <v>46118.0</v>
      </c>
      <c r="Q164" s="33">
        <v>6.0</v>
      </c>
      <c r="R164" s="37">
        <f t="shared" si="37"/>
        <v>0</v>
      </c>
    </row>
    <row r="165">
      <c r="A165" s="38" t="s">
        <v>234</v>
      </c>
      <c r="B165" s="30" t="s">
        <v>24</v>
      </c>
      <c r="C165" s="48" t="s">
        <v>235</v>
      </c>
      <c r="D165" s="48" t="s">
        <v>43</v>
      </c>
      <c r="E165" s="33">
        <v>27.0</v>
      </c>
      <c r="F165" s="38" t="s">
        <v>44</v>
      </c>
      <c r="G165" s="33" t="s">
        <v>27</v>
      </c>
      <c r="H165" s="33">
        <v>27.0</v>
      </c>
      <c r="I165" s="53">
        <v>1.710004543E9</v>
      </c>
      <c r="J165" s="58" t="s">
        <v>45</v>
      </c>
      <c r="K165" s="55">
        <v>46331.0</v>
      </c>
      <c r="L165" s="36">
        <v>7.100003897E9</v>
      </c>
      <c r="M165" s="36" t="str">
        <f t="shared" si="35"/>
        <v>SUDAH PO</v>
      </c>
      <c r="N165" s="37" t="s">
        <v>46</v>
      </c>
      <c r="O165" s="38" t="str">
        <f t="shared" si="36"/>
        <v>CLOSE</v>
      </c>
      <c r="P165" s="56">
        <v>46118.0</v>
      </c>
      <c r="Q165" s="33">
        <v>27.0</v>
      </c>
      <c r="R165" s="37">
        <f t="shared" si="37"/>
        <v>0</v>
      </c>
    </row>
    <row r="166">
      <c r="A166" s="38" t="s">
        <v>236</v>
      </c>
      <c r="B166" s="30" t="s">
        <v>24</v>
      </c>
      <c r="C166" s="48" t="s">
        <v>235</v>
      </c>
      <c r="D166" s="48" t="s">
        <v>48</v>
      </c>
      <c r="E166" s="32">
        <v>27.0</v>
      </c>
      <c r="F166" s="38" t="s">
        <v>44</v>
      </c>
      <c r="G166" s="32" t="s">
        <v>27</v>
      </c>
      <c r="H166" s="33">
        <v>27.0</v>
      </c>
      <c r="I166" s="53">
        <v>1.710004543E9</v>
      </c>
      <c r="J166" s="58" t="s">
        <v>45</v>
      </c>
      <c r="K166" s="35">
        <v>45966.0</v>
      </c>
      <c r="L166" s="36">
        <v>7.100003897E9</v>
      </c>
      <c r="M166" s="36" t="str">
        <f t="shared" si="35"/>
        <v>SUDAH PO</v>
      </c>
      <c r="N166" s="56">
        <v>46331.0</v>
      </c>
      <c r="O166" s="38" t="str">
        <f t="shared" si="36"/>
        <v>CLOSE</v>
      </c>
      <c r="P166" s="56">
        <v>46118.0</v>
      </c>
      <c r="Q166" s="33">
        <v>27.0</v>
      </c>
      <c r="R166" s="37">
        <f t="shared" si="37"/>
        <v>0</v>
      </c>
    </row>
    <row r="167">
      <c r="A167" s="37" t="s">
        <v>237</v>
      </c>
      <c r="B167" s="30" t="s">
        <v>24</v>
      </c>
      <c r="C167" s="48" t="s">
        <v>238</v>
      </c>
      <c r="D167" s="48" t="s">
        <v>43</v>
      </c>
      <c r="E167" s="38">
        <v>6.0</v>
      </c>
      <c r="F167" s="38" t="s">
        <v>44</v>
      </c>
      <c r="G167" s="33">
        <v>0.0</v>
      </c>
      <c r="H167" s="70">
        <v>6.0</v>
      </c>
      <c r="I167" s="53">
        <v>1.710004543E9</v>
      </c>
      <c r="J167" s="53" t="s">
        <v>45</v>
      </c>
      <c r="K167" s="55">
        <v>46331.0</v>
      </c>
      <c r="L167" s="36">
        <v>7.100003897E9</v>
      </c>
      <c r="M167" s="36" t="str">
        <f t="shared" si="35"/>
        <v>SUDAH PO</v>
      </c>
      <c r="N167" s="37" t="s">
        <v>46</v>
      </c>
      <c r="O167" s="38" t="str">
        <f t="shared" si="36"/>
        <v>CLOSE</v>
      </c>
      <c r="P167" s="56">
        <v>46118.0</v>
      </c>
      <c r="Q167" s="33">
        <v>6.0</v>
      </c>
      <c r="R167" s="70">
        <f t="shared" si="37"/>
        <v>0</v>
      </c>
    </row>
    <row r="168">
      <c r="A168" s="38" t="s">
        <v>239</v>
      </c>
      <c r="B168" s="30" t="s">
        <v>24</v>
      </c>
      <c r="C168" s="48" t="s">
        <v>238</v>
      </c>
      <c r="D168" s="48" t="s">
        <v>48</v>
      </c>
      <c r="E168" s="32">
        <v>6.0</v>
      </c>
      <c r="F168" s="37" t="s">
        <v>44</v>
      </c>
      <c r="G168" s="32">
        <v>0.0</v>
      </c>
      <c r="H168" s="37">
        <v>6.0</v>
      </c>
      <c r="I168" s="53">
        <v>1.710004543E9</v>
      </c>
      <c r="J168" s="54" t="s">
        <v>45</v>
      </c>
      <c r="K168" s="35">
        <v>45966.0</v>
      </c>
      <c r="L168" s="36">
        <v>7.100003897E9</v>
      </c>
      <c r="M168" s="36" t="str">
        <f t="shared" si="35"/>
        <v>SUDAH PO</v>
      </c>
      <c r="N168" s="56">
        <v>46331.0</v>
      </c>
      <c r="O168" s="38" t="str">
        <f t="shared" si="36"/>
        <v>CLOSE</v>
      </c>
      <c r="P168" s="56">
        <v>46118.0</v>
      </c>
      <c r="Q168" s="33">
        <v>6.0</v>
      </c>
      <c r="R168" s="37">
        <f t="shared" si="37"/>
        <v>0</v>
      </c>
    </row>
    <row r="169">
      <c r="A169" s="38" t="s">
        <v>240</v>
      </c>
      <c r="B169" s="30" t="s">
        <v>24</v>
      </c>
      <c r="C169" s="48" t="s">
        <v>241</v>
      </c>
      <c r="D169" s="48" t="s">
        <v>43</v>
      </c>
      <c r="E169" s="33">
        <v>27.0</v>
      </c>
      <c r="F169" s="37" t="s">
        <v>44</v>
      </c>
      <c r="G169" s="33" t="s">
        <v>27</v>
      </c>
      <c r="H169" s="102">
        <v>27.0</v>
      </c>
      <c r="I169" s="53">
        <v>1.710004543E9</v>
      </c>
      <c r="J169" s="53" t="s">
        <v>45</v>
      </c>
      <c r="K169" s="55">
        <v>46331.0</v>
      </c>
      <c r="L169" s="36">
        <v>7.100003897E9</v>
      </c>
      <c r="M169" s="36" t="str">
        <f t="shared" si="35"/>
        <v>SUDAH PO</v>
      </c>
      <c r="N169" s="37" t="s">
        <v>46</v>
      </c>
      <c r="O169" s="38" t="str">
        <f t="shared" si="36"/>
        <v>CLOSE</v>
      </c>
      <c r="P169" s="56">
        <v>46118.0</v>
      </c>
      <c r="Q169" s="33">
        <v>27.0</v>
      </c>
      <c r="R169" s="37">
        <f t="shared" si="37"/>
        <v>0</v>
      </c>
    </row>
    <row r="170">
      <c r="A170" s="38" t="s">
        <v>242</v>
      </c>
      <c r="B170" s="30" t="s">
        <v>24</v>
      </c>
      <c r="C170" s="48" t="s">
        <v>241</v>
      </c>
      <c r="D170" s="48" t="s">
        <v>48</v>
      </c>
      <c r="E170" s="32">
        <v>27.0</v>
      </c>
      <c r="F170" s="37" t="s">
        <v>44</v>
      </c>
      <c r="G170" s="32" t="s">
        <v>27</v>
      </c>
      <c r="H170" s="33">
        <v>27.0</v>
      </c>
      <c r="I170" s="53">
        <v>1.710004543E9</v>
      </c>
      <c r="J170" s="58" t="s">
        <v>45</v>
      </c>
      <c r="K170" s="35">
        <v>45966.0</v>
      </c>
      <c r="L170" s="36">
        <v>7.100003897E9</v>
      </c>
      <c r="M170" s="36" t="str">
        <f t="shared" si="35"/>
        <v>SUDAH PO</v>
      </c>
      <c r="N170" s="56">
        <v>46331.0</v>
      </c>
      <c r="O170" s="38" t="str">
        <f t="shared" si="36"/>
        <v>CLOSE</v>
      </c>
      <c r="P170" s="56">
        <v>46118.0</v>
      </c>
      <c r="Q170" s="33">
        <v>27.0</v>
      </c>
      <c r="R170" s="37">
        <f t="shared" si="37"/>
        <v>0</v>
      </c>
    </row>
    <row r="171">
      <c r="A171" s="38" t="s">
        <v>243</v>
      </c>
      <c r="B171" s="30" t="s">
        <v>24</v>
      </c>
      <c r="C171" s="48" t="s">
        <v>244</v>
      </c>
      <c r="D171" s="48" t="s">
        <v>43</v>
      </c>
      <c r="E171" s="38">
        <v>6.0</v>
      </c>
      <c r="F171" s="37" t="s">
        <v>44</v>
      </c>
      <c r="G171" s="33">
        <v>0.0</v>
      </c>
      <c r="H171" s="103">
        <v>6.0</v>
      </c>
      <c r="I171" s="34">
        <v>1.710004644E9</v>
      </c>
      <c r="J171" s="35">
        <v>46059.0</v>
      </c>
      <c r="K171" s="104">
        <v>46301.0</v>
      </c>
      <c r="L171" s="36"/>
      <c r="M171" s="36" t="str">
        <f t="shared" si="35"/>
        <v>BELUM PO</v>
      </c>
      <c r="N171" s="37"/>
      <c r="O171" s="38" t="str">
        <f t="shared" si="36"/>
        <v>BELUM DATANG</v>
      </c>
      <c r="P171" s="56"/>
      <c r="Q171" s="33"/>
      <c r="R171" s="37">
        <f t="shared" si="37"/>
        <v>-6</v>
      </c>
    </row>
    <row r="172">
      <c r="A172" s="37" t="s">
        <v>245</v>
      </c>
      <c r="B172" s="30" t="s">
        <v>24</v>
      </c>
      <c r="C172" s="48" t="s">
        <v>244</v>
      </c>
      <c r="D172" s="48" t="s">
        <v>48</v>
      </c>
      <c r="E172" s="32">
        <v>6.0</v>
      </c>
      <c r="F172" s="38" t="s">
        <v>44</v>
      </c>
      <c r="G172" s="32">
        <v>0.0</v>
      </c>
      <c r="H172" s="70">
        <v>6.0</v>
      </c>
      <c r="I172" s="53">
        <v>1.710004543E9</v>
      </c>
      <c r="J172" s="53" t="s">
        <v>45</v>
      </c>
      <c r="K172" s="35">
        <v>45966.0</v>
      </c>
      <c r="L172" s="36">
        <v>7.100003897E9</v>
      </c>
      <c r="M172" s="36" t="str">
        <f t="shared" si="35"/>
        <v>SUDAH PO</v>
      </c>
      <c r="N172" s="56">
        <v>46331.0</v>
      </c>
      <c r="O172" s="38" t="str">
        <f t="shared" si="36"/>
        <v>CLOSE</v>
      </c>
      <c r="P172" s="56">
        <v>46118.0</v>
      </c>
      <c r="Q172" s="33">
        <v>6.0</v>
      </c>
      <c r="R172" s="70">
        <f t="shared" si="37"/>
        <v>0</v>
      </c>
    </row>
    <row r="173">
      <c r="A173" s="38" t="s">
        <v>246</v>
      </c>
      <c r="B173" s="30" t="s">
        <v>24</v>
      </c>
      <c r="C173" s="48" t="s">
        <v>247</v>
      </c>
      <c r="D173" s="48" t="s">
        <v>43</v>
      </c>
      <c r="E173" s="33">
        <v>27.0</v>
      </c>
      <c r="F173" s="37" t="s">
        <v>44</v>
      </c>
      <c r="G173" s="33" t="s">
        <v>27</v>
      </c>
      <c r="H173" s="33">
        <v>27.0</v>
      </c>
      <c r="I173" s="34">
        <v>1.710004644E9</v>
      </c>
      <c r="J173" s="35">
        <v>46059.0</v>
      </c>
      <c r="K173" s="104">
        <v>46301.0</v>
      </c>
      <c r="L173" s="36"/>
      <c r="M173" s="36" t="str">
        <f t="shared" si="35"/>
        <v>BELUM PO</v>
      </c>
      <c r="N173" s="37"/>
      <c r="O173" s="38" t="str">
        <f t="shared" si="36"/>
        <v>BELUM DATANG</v>
      </c>
      <c r="P173" s="56"/>
      <c r="Q173" s="33"/>
      <c r="R173" s="37">
        <f t="shared" si="37"/>
        <v>-27</v>
      </c>
    </row>
    <row r="174">
      <c r="A174" s="38" t="s">
        <v>248</v>
      </c>
      <c r="B174" s="30" t="s">
        <v>24</v>
      </c>
      <c r="C174" s="48" t="s">
        <v>247</v>
      </c>
      <c r="D174" s="48" t="s">
        <v>48</v>
      </c>
      <c r="E174" s="60">
        <v>27.0</v>
      </c>
      <c r="F174" s="37" t="s">
        <v>44</v>
      </c>
      <c r="G174" s="32" t="s">
        <v>27</v>
      </c>
      <c r="H174" s="33">
        <v>27.0</v>
      </c>
      <c r="I174" s="53">
        <v>1.710004543E9</v>
      </c>
      <c r="J174" s="58" t="s">
        <v>45</v>
      </c>
      <c r="K174" s="35">
        <v>45966.0</v>
      </c>
      <c r="L174" s="36">
        <v>7.100003897E9</v>
      </c>
      <c r="M174" s="36" t="str">
        <f t="shared" si="35"/>
        <v>SUDAH PO</v>
      </c>
      <c r="N174" s="56">
        <v>46331.0</v>
      </c>
      <c r="O174" s="38" t="str">
        <f t="shared" si="36"/>
        <v>CLOSE</v>
      </c>
      <c r="P174" s="56">
        <v>46118.0</v>
      </c>
      <c r="Q174" s="33">
        <v>27.0</v>
      </c>
      <c r="R174" s="37">
        <f t="shared" si="37"/>
        <v>0</v>
      </c>
    </row>
    <row r="175">
      <c r="A175" s="38" t="s">
        <v>249</v>
      </c>
      <c r="B175" s="30" t="s">
        <v>24</v>
      </c>
      <c r="C175" s="48" t="s">
        <v>250</v>
      </c>
      <c r="D175" s="48" t="s">
        <v>43</v>
      </c>
      <c r="E175" s="38">
        <v>6.0</v>
      </c>
      <c r="F175" s="37" t="s">
        <v>44</v>
      </c>
      <c r="G175" s="33">
        <v>0.0</v>
      </c>
      <c r="H175" s="37">
        <v>6.0</v>
      </c>
      <c r="I175" s="34">
        <v>1.710004644E9</v>
      </c>
      <c r="J175" s="35">
        <v>46059.0</v>
      </c>
      <c r="K175" s="104">
        <v>46301.0</v>
      </c>
      <c r="L175" s="36"/>
      <c r="M175" s="36" t="str">
        <f t="shared" si="35"/>
        <v>BELUM PO</v>
      </c>
      <c r="N175" s="37"/>
      <c r="O175" s="38" t="str">
        <f t="shared" si="36"/>
        <v>BELUM DATANG</v>
      </c>
      <c r="P175" s="56"/>
      <c r="Q175" s="33"/>
      <c r="R175" s="37">
        <f t="shared" si="37"/>
        <v>-6</v>
      </c>
    </row>
    <row r="176">
      <c r="A176" s="38" t="s">
        <v>251</v>
      </c>
      <c r="B176" s="30" t="s">
        <v>24</v>
      </c>
      <c r="C176" s="48" t="s">
        <v>250</v>
      </c>
      <c r="D176" s="48" t="s">
        <v>48</v>
      </c>
      <c r="E176" s="32">
        <v>6.0</v>
      </c>
      <c r="F176" s="37" t="s">
        <v>44</v>
      </c>
      <c r="G176" s="32">
        <v>0.0</v>
      </c>
      <c r="H176" s="37">
        <v>6.0</v>
      </c>
      <c r="I176" s="34">
        <v>1.710004644E9</v>
      </c>
      <c r="J176" s="35">
        <v>46059.0</v>
      </c>
      <c r="K176" s="35">
        <v>46301.0</v>
      </c>
      <c r="L176" s="36"/>
      <c r="M176" s="36" t="str">
        <f t="shared" si="35"/>
        <v>BELUM PO</v>
      </c>
      <c r="N176" s="37"/>
      <c r="O176" s="38" t="str">
        <f t="shared" si="36"/>
        <v>BELUM DATANG</v>
      </c>
      <c r="P176" s="37"/>
      <c r="Q176" s="37"/>
      <c r="R176" s="37">
        <f t="shared" si="37"/>
        <v>-6</v>
      </c>
    </row>
    <row r="177">
      <c r="A177" s="38" t="s">
        <v>252</v>
      </c>
      <c r="B177" s="30" t="s">
        <v>24</v>
      </c>
      <c r="C177" s="48" t="s">
        <v>253</v>
      </c>
      <c r="D177" s="48" t="s">
        <v>43</v>
      </c>
      <c r="E177" s="33">
        <v>27.0</v>
      </c>
      <c r="F177" s="38" t="s">
        <v>44</v>
      </c>
      <c r="G177" s="33" t="s">
        <v>27</v>
      </c>
      <c r="H177" s="33">
        <v>27.0</v>
      </c>
      <c r="I177" s="34">
        <v>1.710004644E9</v>
      </c>
      <c r="J177" s="35">
        <v>46059.0</v>
      </c>
      <c r="K177" s="104">
        <v>46301.0</v>
      </c>
      <c r="L177" s="36"/>
      <c r="M177" s="36" t="str">
        <f t="shared" si="35"/>
        <v>BELUM PO</v>
      </c>
      <c r="N177" s="37"/>
      <c r="O177" s="38" t="str">
        <f t="shared" si="36"/>
        <v>BELUM DATANG</v>
      </c>
      <c r="P177" s="56"/>
      <c r="Q177" s="33"/>
      <c r="R177" s="37">
        <f t="shared" si="37"/>
        <v>-27</v>
      </c>
    </row>
    <row r="178">
      <c r="A178" s="38" t="s">
        <v>254</v>
      </c>
      <c r="B178" s="30" t="s">
        <v>24</v>
      </c>
      <c r="C178" s="48" t="s">
        <v>253</v>
      </c>
      <c r="D178" s="48" t="s">
        <v>48</v>
      </c>
      <c r="E178" s="32">
        <v>27.0</v>
      </c>
      <c r="F178" s="38" t="s">
        <v>44</v>
      </c>
      <c r="G178" s="32" t="s">
        <v>27</v>
      </c>
      <c r="H178" s="33">
        <v>27.0</v>
      </c>
      <c r="I178" s="34">
        <v>1.710004644E9</v>
      </c>
      <c r="J178" s="35">
        <v>46059.0</v>
      </c>
      <c r="K178" s="35">
        <v>46301.0</v>
      </c>
      <c r="L178" s="36"/>
      <c r="M178" s="36" t="str">
        <f t="shared" si="35"/>
        <v>BELUM PO</v>
      </c>
      <c r="N178" s="37"/>
      <c r="O178" s="38" t="str">
        <f t="shared" si="36"/>
        <v>BELUM DATANG</v>
      </c>
      <c r="P178" s="37"/>
      <c r="Q178" s="37"/>
      <c r="R178" s="37">
        <f t="shared" si="37"/>
        <v>-27</v>
      </c>
    </row>
    <row r="179">
      <c r="A179" s="38" t="s">
        <v>255</v>
      </c>
      <c r="B179" s="30" t="s">
        <v>24</v>
      </c>
      <c r="C179" s="48" t="s">
        <v>256</v>
      </c>
      <c r="D179" s="48" t="s">
        <v>43</v>
      </c>
      <c r="E179" s="38">
        <v>6.0</v>
      </c>
      <c r="F179" s="38" t="s">
        <v>44</v>
      </c>
      <c r="G179" s="33">
        <v>0.0</v>
      </c>
      <c r="H179" s="37">
        <v>6.0</v>
      </c>
      <c r="I179" s="34">
        <v>1.710004644E9</v>
      </c>
      <c r="J179" s="35">
        <v>46059.0</v>
      </c>
      <c r="K179" s="104">
        <v>46301.0</v>
      </c>
      <c r="L179" s="36"/>
      <c r="M179" s="36" t="str">
        <f t="shared" si="35"/>
        <v>BELUM PO</v>
      </c>
      <c r="N179" s="37"/>
      <c r="O179" s="38" t="str">
        <f t="shared" si="36"/>
        <v>BELUM DATANG</v>
      </c>
      <c r="P179" s="56"/>
      <c r="Q179" s="33"/>
      <c r="R179" s="37">
        <f t="shared" si="37"/>
        <v>-6</v>
      </c>
    </row>
    <row r="180">
      <c r="A180" s="38" t="s">
        <v>257</v>
      </c>
      <c r="B180" s="30" t="s">
        <v>24</v>
      </c>
      <c r="C180" s="48" t="s">
        <v>256</v>
      </c>
      <c r="D180" s="48" t="s">
        <v>48</v>
      </c>
      <c r="E180" s="32">
        <v>6.0</v>
      </c>
      <c r="F180" s="38" t="s">
        <v>44</v>
      </c>
      <c r="G180" s="32">
        <v>0.0</v>
      </c>
      <c r="H180" s="37">
        <v>6.0</v>
      </c>
      <c r="I180" s="34">
        <v>1.710004644E9</v>
      </c>
      <c r="J180" s="35">
        <v>46059.0</v>
      </c>
      <c r="K180" s="35">
        <v>46301.0</v>
      </c>
      <c r="L180" s="36"/>
      <c r="M180" s="36" t="str">
        <f t="shared" si="35"/>
        <v>BELUM PO</v>
      </c>
      <c r="N180" s="37"/>
      <c r="O180" s="38" t="str">
        <f t="shared" si="36"/>
        <v>BELUM DATANG</v>
      </c>
      <c r="P180" s="37"/>
      <c r="Q180" s="37"/>
      <c r="R180" s="37">
        <f t="shared" si="37"/>
        <v>-6</v>
      </c>
    </row>
    <row r="181">
      <c r="A181" s="38" t="s">
        <v>258</v>
      </c>
      <c r="B181" s="30" t="s">
        <v>24</v>
      </c>
      <c r="C181" s="48" t="s">
        <v>259</v>
      </c>
      <c r="D181" s="48" t="s">
        <v>43</v>
      </c>
      <c r="E181" s="33">
        <v>27.0</v>
      </c>
      <c r="F181" s="38" t="s">
        <v>44</v>
      </c>
      <c r="G181" s="33" t="s">
        <v>27</v>
      </c>
      <c r="H181" s="33">
        <v>27.0</v>
      </c>
      <c r="I181" s="34">
        <v>1.710004644E9</v>
      </c>
      <c r="J181" s="35">
        <v>46059.0</v>
      </c>
      <c r="K181" s="104">
        <v>46301.0</v>
      </c>
      <c r="L181" s="36"/>
      <c r="M181" s="36" t="str">
        <f t="shared" si="35"/>
        <v>BELUM PO</v>
      </c>
      <c r="N181" s="37"/>
      <c r="O181" s="38" t="str">
        <f t="shared" si="36"/>
        <v>BELUM DATANG</v>
      </c>
      <c r="P181" s="56"/>
      <c r="Q181" s="33"/>
      <c r="R181" s="37">
        <f t="shared" si="37"/>
        <v>-27</v>
      </c>
    </row>
    <row r="182">
      <c r="A182" s="38" t="s">
        <v>260</v>
      </c>
      <c r="B182" s="30" t="s">
        <v>24</v>
      </c>
      <c r="C182" s="48" t="s">
        <v>259</v>
      </c>
      <c r="D182" s="48" t="s">
        <v>48</v>
      </c>
      <c r="E182" s="32">
        <v>27.0</v>
      </c>
      <c r="F182" s="38" t="s">
        <v>44</v>
      </c>
      <c r="G182" s="32" t="s">
        <v>27</v>
      </c>
      <c r="H182" s="33">
        <v>27.0</v>
      </c>
      <c r="I182" s="34">
        <v>1.710004644E9</v>
      </c>
      <c r="J182" s="35">
        <v>46059.0</v>
      </c>
      <c r="K182" s="35">
        <v>46301.0</v>
      </c>
      <c r="L182" s="36"/>
      <c r="M182" s="36" t="str">
        <f t="shared" si="35"/>
        <v>BELUM PO</v>
      </c>
      <c r="N182" s="37"/>
      <c r="O182" s="38" t="str">
        <f t="shared" si="36"/>
        <v>BELUM DATANG</v>
      </c>
      <c r="P182" s="37"/>
      <c r="Q182" s="37"/>
      <c r="R182" s="37">
        <f t="shared" si="37"/>
        <v>-27</v>
      </c>
    </row>
    <row r="183">
      <c r="A183" s="38" t="s">
        <v>261</v>
      </c>
      <c r="B183" s="30" t="s">
        <v>24</v>
      </c>
      <c r="C183" s="48" t="s">
        <v>262</v>
      </c>
      <c r="D183" s="48" t="s">
        <v>43</v>
      </c>
      <c r="E183" s="38">
        <v>6.0</v>
      </c>
      <c r="F183" s="38" t="s">
        <v>44</v>
      </c>
      <c r="G183" s="33">
        <v>0.0</v>
      </c>
      <c r="H183" s="103">
        <v>6.0</v>
      </c>
      <c r="I183" s="34">
        <v>1.710004644E9</v>
      </c>
      <c r="J183" s="35">
        <v>46059.0</v>
      </c>
      <c r="K183" s="104">
        <v>46301.0</v>
      </c>
      <c r="L183" s="36"/>
      <c r="M183" s="36" t="str">
        <f t="shared" si="35"/>
        <v>BELUM PO</v>
      </c>
      <c r="N183" s="37"/>
      <c r="O183" s="38" t="str">
        <f t="shared" si="36"/>
        <v>BELUM DATANG</v>
      </c>
      <c r="P183" s="56"/>
      <c r="Q183" s="33"/>
      <c r="R183" s="37">
        <f t="shared" si="37"/>
        <v>-6</v>
      </c>
    </row>
    <row r="184">
      <c r="A184" s="38" t="s">
        <v>263</v>
      </c>
      <c r="B184" s="30" t="s">
        <v>24</v>
      </c>
      <c r="C184" s="48" t="s">
        <v>262</v>
      </c>
      <c r="D184" s="48" t="s">
        <v>48</v>
      </c>
      <c r="E184" s="32">
        <v>6.0</v>
      </c>
      <c r="F184" s="38" t="s">
        <v>44</v>
      </c>
      <c r="G184" s="32">
        <v>0.0</v>
      </c>
      <c r="H184" s="37">
        <v>6.0</v>
      </c>
      <c r="I184" s="34">
        <v>1.710004644E9</v>
      </c>
      <c r="J184" s="35">
        <v>46059.0</v>
      </c>
      <c r="K184" s="35">
        <v>46301.0</v>
      </c>
      <c r="L184" s="36"/>
      <c r="M184" s="36" t="str">
        <f t="shared" si="35"/>
        <v>BELUM PO</v>
      </c>
      <c r="N184" s="37"/>
      <c r="O184" s="38" t="str">
        <f t="shared" si="36"/>
        <v>BELUM DATANG</v>
      </c>
      <c r="P184" s="37"/>
      <c r="Q184" s="37"/>
      <c r="R184" s="37">
        <f t="shared" si="37"/>
        <v>-6</v>
      </c>
    </row>
    <row r="185">
      <c r="A185" s="38" t="s">
        <v>264</v>
      </c>
      <c r="B185" s="30" t="s">
        <v>24</v>
      </c>
      <c r="C185" s="48" t="s">
        <v>265</v>
      </c>
      <c r="D185" s="48" t="s">
        <v>43</v>
      </c>
      <c r="E185" s="33">
        <v>27.0</v>
      </c>
      <c r="F185" s="38" t="s">
        <v>44</v>
      </c>
      <c r="G185" s="33" t="s">
        <v>27</v>
      </c>
      <c r="H185" s="33">
        <v>27.0</v>
      </c>
      <c r="I185" s="34">
        <v>1.710004644E9</v>
      </c>
      <c r="J185" s="35">
        <v>46059.0</v>
      </c>
      <c r="K185" s="104">
        <v>46301.0</v>
      </c>
      <c r="L185" s="36"/>
      <c r="M185" s="36" t="str">
        <f t="shared" si="35"/>
        <v>BELUM PO</v>
      </c>
      <c r="N185" s="37"/>
      <c r="O185" s="38" t="str">
        <f t="shared" si="36"/>
        <v>BELUM DATANG</v>
      </c>
      <c r="P185" s="56"/>
      <c r="Q185" s="33"/>
      <c r="R185" s="37">
        <f t="shared" si="37"/>
        <v>-27</v>
      </c>
    </row>
    <row r="186">
      <c r="A186" s="38" t="s">
        <v>266</v>
      </c>
      <c r="B186" s="30" t="s">
        <v>24</v>
      </c>
      <c r="C186" s="48" t="s">
        <v>265</v>
      </c>
      <c r="D186" s="48" t="s">
        <v>48</v>
      </c>
      <c r="E186" s="32">
        <v>27.0</v>
      </c>
      <c r="F186" s="38" t="s">
        <v>44</v>
      </c>
      <c r="G186" s="32" t="s">
        <v>27</v>
      </c>
      <c r="H186" s="33">
        <v>27.0</v>
      </c>
      <c r="I186" s="34">
        <v>1.710004644E9</v>
      </c>
      <c r="J186" s="35">
        <v>46059.0</v>
      </c>
      <c r="K186" s="35">
        <v>46301.0</v>
      </c>
      <c r="L186" s="36"/>
      <c r="M186" s="36" t="str">
        <f t="shared" si="35"/>
        <v>BELUM PO</v>
      </c>
      <c r="N186" s="37"/>
      <c r="O186" s="38" t="str">
        <f t="shared" si="36"/>
        <v>BELUM DATANG</v>
      </c>
      <c r="P186" s="37"/>
      <c r="Q186" s="37"/>
      <c r="R186" s="37">
        <f t="shared" si="37"/>
        <v>-27</v>
      </c>
    </row>
    <row r="187">
      <c r="A187" s="38" t="s">
        <v>267</v>
      </c>
      <c r="B187" s="30" t="s">
        <v>24</v>
      </c>
      <c r="C187" s="48" t="s">
        <v>53</v>
      </c>
      <c r="D187" s="48" t="s">
        <v>268</v>
      </c>
      <c r="E187" s="70">
        <v>240.0</v>
      </c>
      <c r="F187" s="38" t="s">
        <v>10</v>
      </c>
      <c r="G187" s="37"/>
      <c r="H187" s="53">
        <v>240.0</v>
      </c>
      <c r="I187" s="53">
        <v>1.710004599E9</v>
      </c>
      <c r="J187" s="58" t="s">
        <v>64</v>
      </c>
      <c r="K187" s="58" t="s">
        <v>56</v>
      </c>
      <c r="L187" s="36"/>
      <c r="M187" s="36" t="str">
        <f t="shared" si="35"/>
        <v>BELUM PO</v>
      </c>
      <c r="N187" s="37"/>
      <c r="O187" s="38" t="str">
        <f t="shared" si="36"/>
        <v>BELUM DATANG</v>
      </c>
      <c r="P187" s="37"/>
      <c r="Q187" s="37"/>
      <c r="R187" s="37">
        <f t="shared" si="37"/>
        <v>-240</v>
      </c>
    </row>
    <row r="188">
      <c r="A188" s="33" t="s">
        <v>269</v>
      </c>
      <c r="B188" s="30" t="s">
        <v>24</v>
      </c>
      <c r="C188" s="48" t="s">
        <v>53</v>
      </c>
      <c r="D188" s="105" t="s">
        <v>270</v>
      </c>
      <c r="E188" s="33">
        <v>176.0</v>
      </c>
      <c r="F188" s="38" t="s">
        <v>10</v>
      </c>
      <c r="G188" s="32" t="s">
        <v>27</v>
      </c>
      <c r="H188" s="69">
        <v>176.0</v>
      </c>
      <c r="I188" s="34">
        <v>1.710004644E9</v>
      </c>
      <c r="J188" s="56">
        <v>46059.0</v>
      </c>
      <c r="K188" s="56">
        <v>46301.0</v>
      </c>
      <c r="L188" s="36"/>
      <c r="M188" s="36" t="str">
        <f t="shared" si="35"/>
        <v>BELUM PO</v>
      </c>
      <c r="N188" s="37"/>
      <c r="O188" s="38" t="str">
        <f t="shared" si="36"/>
        <v>BELUM DATANG</v>
      </c>
      <c r="P188" s="37"/>
      <c r="Q188" s="37"/>
      <c r="R188" s="70">
        <f t="shared" si="37"/>
        <v>-176</v>
      </c>
    </row>
    <row r="189">
      <c r="A189" s="29" t="s">
        <v>271</v>
      </c>
      <c r="B189" s="30" t="s">
        <v>24</v>
      </c>
      <c r="C189" s="48" t="s">
        <v>53</v>
      </c>
      <c r="D189" s="48" t="s">
        <v>272</v>
      </c>
      <c r="E189" s="37">
        <v>304.0</v>
      </c>
      <c r="F189" s="37" t="s">
        <v>10</v>
      </c>
      <c r="G189" s="37"/>
      <c r="H189" s="33">
        <v>304.0</v>
      </c>
      <c r="I189" s="33">
        <v>1.710004658E9</v>
      </c>
      <c r="J189" s="56">
        <v>46148.0</v>
      </c>
      <c r="K189" s="56">
        <v>46301.0</v>
      </c>
      <c r="L189" s="33">
        <v>7.100003986E9</v>
      </c>
      <c r="M189" s="36" t="str">
        <f t="shared" si="35"/>
        <v>SUDAH PO</v>
      </c>
      <c r="N189" s="56">
        <v>46301.0</v>
      </c>
      <c r="O189" s="38" t="str">
        <f t="shared" si="36"/>
        <v>BELUM DATANG</v>
      </c>
      <c r="P189" s="37"/>
      <c r="Q189" s="37"/>
      <c r="R189" s="37">
        <f t="shared" si="37"/>
        <v>-304</v>
      </c>
    </row>
    <row r="190">
      <c r="A190" s="38" t="s">
        <v>273</v>
      </c>
      <c r="B190" s="30" t="s">
        <v>24</v>
      </c>
      <c r="C190" s="48" t="s">
        <v>53</v>
      </c>
      <c r="D190" s="48" t="s">
        <v>274</v>
      </c>
      <c r="E190" s="37">
        <v>144.0</v>
      </c>
      <c r="F190" s="37" t="s">
        <v>10</v>
      </c>
      <c r="G190" s="37"/>
      <c r="H190" s="53">
        <v>144.0</v>
      </c>
      <c r="I190" s="53">
        <v>1.710004599E9</v>
      </c>
      <c r="J190" s="58" t="s">
        <v>64</v>
      </c>
      <c r="K190" s="35">
        <v>46301.0</v>
      </c>
      <c r="L190" s="33"/>
      <c r="M190" s="36" t="str">
        <f t="shared" si="35"/>
        <v>BELUM PO</v>
      </c>
      <c r="N190" s="56"/>
      <c r="O190" s="38" t="str">
        <f t="shared" si="36"/>
        <v>BELUM DATANG</v>
      </c>
      <c r="P190" s="37"/>
      <c r="Q190" s="37"/>
      <c r="R190" s="37">
        <f t="shared" si="37"/>
        <v>-144</v>
      </c>
    </row>
    <row r="191">
      <c r="A191" s="29" t="s">
        <v>275</v>
      </c>
      <c r="B191" s="30" t="s">
        <v>24</v>
      </c>
      <c r="C191" s="48" t="s">
        <v>53</v>
      </c>
      <c r="D191" s="106" t="s">
        <v>276</v>
      </c>
      <c r="E191" s="32">
        <v>136.0</v>
      </c>
      <c r="F191" s="37" t="s">
        <v>10</v>
      </c>
      <c r="G191" s="37"/>
      <c r="H191" s="37">
        <v>136.0</v>
      </c>
      <c r="I191" s="34">
        <v>1.710004644E9</v>
      </c>
      <c r="J191" s="35">
        <v>46059.0</v>
      </c>
      <c r="K191" s="35">
        <v>46301.0</v>
      </c>
      <c r="L191" s="33">
        <v>1.710004644E9</v>
      </c>
      <c r="M191" s="36" t="str">
        <f t="shared" si="35"/>
        <v>SUDAH PO</v>
      </c>
      <c r="N191" s="35">
        <v>46301.0</v>
      </c>
      <c r="O191" s="38" t="str">
        <f t="shared" si="36"/>
        <v>BELUM DATANG</v>
      </c>
      <c r="P191" s="37"/>
      <c r="Q191" s="37"/>
      <c r="R191" s="37">
        <f t="shared" si="37"/>
        <v>-136</v>
      </c>
    </row>
    <row r="192">
      <c r="A192" s="33" t="s">
        <v>277</v>
      </c>
      <c r="B192" s="30" t="s">
        <v>29</v>
      </c>
      <c r="C192" s="48" t="s">
        <v>53</v>
      </c>
      <c r="D192" s="97" t="s">
        <v>278</v>
      </c>
      <c r="E192" s="33">
        <v>2.0</v>
      </c>
      <c r="F192" s="37" t="s">
        <v>10</v>
      </c>
      <c r="G192" s="32" t="s">
        <v>27</v>
      </c>
      <c r="H192" s="33">
        <v>2.0</v>
      </c>
      <c r="I192" s="34">
        <v>1.710004658E9</v>
      </c>
      <c r="J192" s="35">
        <v>46240.0</v>
      </c>
      <c r="K192" s="35">
        <v>46301.0</v>
      </c>
      <c r="L192" s="33"/>
      <c r="M192" s="36" t="str">
        <f t="shared" si="35"/>
        <v>BELUM PO</v>
      </c>
      <c r="N192" s="56"/>
      <c r="O192" s="38" t="str">
        <f t="shared" si="36"/>
        <v>BELUM DATANG</v>
      </c>
      <c r="P192" s="37"/>
      <c r="Q192" s="37"/>
      <c r="R192" s="37">
        <f t="shared" si="37"/>
        <v>-2</v>
      </c>
    </row>
    <row r="193">
      <c r="A193" s="33" t="s">
        <v>279</v>
      </c>
      <c r="B193" s="30" t="s">
        <v>24</v>
      </c>
      <c r="C193" s="48" t="s">
        <v>53</v>
      </c>
      <c r="D193" s="48" t="s">
        <v>280</v>
      </c>
      <c r="E193" s="33">
        <v>16.0</v>
      </c>
      <c r="F193" s="38" t="s">
        <v>10</v>
      </c>
      <c r="G193" s="37"/>
      <c r="H193" s="69">
        <v>16.0</v>
      </c>
      <c r="I193" s="33">
        <v>1.710004658E9</v>
      </c>
      <c r="J193" s="56">
        <v>46240.0</v>
      </c>
      <c r="K193" s="37"/>
      <c r="L193" s="36"/>
      <c r="M193" s="36" t="str">
        <f t="shared" si="35"/>
        <v>BELUM PO</v>
      </c>
      <c r="N193" s="37"/>
      <c r="O193" s="38" t="str">
        <f t="shared" si="36"/>
        <v>BELUM DATANG</v>
      </c>
      <c r="P193" s="37"/>
      <c r="Q193" s="37"/>
      <c r="R193" s="70">
        <f t="shared" si="37"/>
        <v>-16</v>
      </c>
    </row>
    <row r="194">
      <c r="A194" s="38" t="s">
        <v>281</v>
      </c>
      <c r="B194" s="30" t="s">
        <v>24</v>
      </c>
      <c r="C194" s="48" t="s">
        <v>282</v>
      </c>
      <c r="D194" s="48" t="s">
        <v>63</v>
      </c>
      <c r="E194" s="60">
        <v>32.0</v>
      </c>
      <c r="F194" s="37" t="s">
        <v>10</v>
      </c>
      <c r="G194" s="32" t="s">
        <v>71</v>
      </c>
      <c r="H194" s="37">
        <v>32.0</v>
      </c>
      <c r="I194" s="53">
        <v>1.710004543E9</v>
      </c>
      <c r="J194" s="54" t="s">
        <v>45</v>
      </c>
      <c r="K194" s="61">
        <v>46331.0</v>
      </c>
      <c r="L194" s="36">
        <v>7.1000039E9</v>
      </c>
      <c r="M194" s="36" t="str">
        <f t="shared" si="35"/>
        <v>SUDAH PO</v>
      </c>
      <c r="N194" s="33" t="s">
        <v>55</v>
      </c>
      <c r="O194" s="38" t="str">
        <f t="shared" si="36"/>
        <v>CLOSE</v>
      </c>
      <c r="P194" s="33" t="s">
        <v>64</v>
      </c>
      <c r="Q194" s="37">
        <v>32.0</v>
      </c>
      <c r="R194" s="37">
        <f t="shared" si="37"/>
        <v>0</v>
      </c>
    </row>
    <row r="195">
      <c r="A195" s="38" t="s">
        <v>283</v>
      </c>
      <c r="B195" s="30" t="s">
        <v>24</v>
      </c>
      <c r="C195" s="48" t="s">
        <v>284</v>
      </c>
      <c r="D195" s="48" t="s">
        <v>67</v>
      </c>
      <c r="E195" s="37">
        <v>104.0</v>
      </c>
      <c r="F195" s="37" t="s">
        <v>10</v>
      </c>
      <c r="G195" s="32" t="s">
        <v>71</v>
      </c>
      <c r="H195" s="37">
        <v>104.0</v>
      </c>
      <c r="I195" s="53">
        <v>1.710004543E9</v>
      </c>
      <c r="J195" s="54" t="s">
        <v>45</v>
      </c>
      <c r="K195" s="61">
        <v>46331.0</v>
      </c>
      <c r="L195" s="36">
        <v>7.1000039E9</v>
      </c>
      <c r="M195" s="36" t="str">
        <f t="shared" si="35"/>
        <v>SUDAH PO</v>
      </c>
      <c r="N195" s="37" t="s">
        <v>46</v>
      </c>
      <c r="O195" s="38" t="str">
        <f t="shared" si="36"/>
        <v>CLOSE</v>
      </c>
      <c r="P195" s="33" t="s">
        <v>64</v>
      </c>
      <c r="Q195" s="33">
        <v>104.0</v>
      </c>
      <c r="R195" s="37">
        <f t="shared" si="37"/>
        <v>0</v>
      </c>
    </row>
    <row r="196">
      <c r="A196" s="38" t="s">
        <v>285</v>
      </c>
      <c r="B196" s="30" t="s">
        <v>24</v>
      </c>
      <c r="C196" s="48" t="s">
        <v>286</v>
      </c>
      <c r="D196" s="48" t="s">
        <v>287</v>
      </c>
      <c r="E196" s="69">
        <v>16.0</v>
      </c>
      <c r="F196" s="37" t="s">
        <v>10</v>
      </c>
      <c r="G196" s="37"/>
      <c r="H196" s="34">
        <v>16.0</v>
      </c>
      <c r="I196" s="53">
        <v>1.710004599E9</v>
      </c>
      <c r="J196" s="58" t="s">
        <v>64</v>
      </c>
      <c r="K196" s="35">
        <v>46301.0</v>
      </c>
      <c r="L196" s="36"/>
      <c r="M196" s="36" t="str">
        <f t="shared" si="35"/>
        <v>BELUM PO</v>
      </c>
      <c r="N196" s="37"/>
      <c r="O196" s="38" t="str">
        <f t="shared" si="36"/>
        <v>BELUM DATANG</v>
      </c>
      <c r="P196" s="37"/>
      <c r="Q196" s="37"/>
      <c r="R196" s="37">
        <f t="shared" si="37"/>
        <v>-16</v>
      </c>
    </row>
    <row r="197">
      <c r="A197" s="38" t="s">
        <v>288</v>
      </c>
      <c r="B197" s="30" t="s">
        <v>24</v>
      </c>
      <c r="C197" s="48" t="s">
        <v>289</v>
      </c>
      <c r="D197" s="48" t="s">
        <v>70</v>
      </c>
      <c r="E197" s="38">
        <v>16.0</v>
      </c>
      <c r="F197" s="37" t="s">
        <v>10</v>
      </c>
      <c r="G197" s="32" t="s">
        <v>71</v>
      </c>
      <c r="H197" s="37">
        <v>16.0</v>
      </c>
      <c r="I197" s="37">
        <v>1.710004543E9</v>
      </c>
      <c r="J197" s="58" t="s">
        <v>45</v>
      </c>
      <c r="K197" s="61">
        <v>46331.0</v>
      </c>
      <c r="L197" s="36">
        <v>7.1000039E9</v>
      </c>
      <c r="M197" s="36" t="str">
        <f t="shared" si="35"/>
        <v>SUDAH PO</v>
      </c>
      <c r="N197" s="37" t="s">
        <v>55</v>
      </c>
      <c r="O197" s="38" t="str">
        <f t="shared" si="36"/>
        <v>CLOSE</v>
      </c>
      <c r="P197" s="33" t="s">
        <v>64</v>
      </c>
      <c r="Q197" s="33">
        <v>16.0</v>
      </c>
      <c r="R197" s="37">
        <f t="shared" si="37"/>
        <v>0</v>
      </c>
    </row>
    <row r="198">
      <c r="A198" s="38" t="s">
        <v>290</v>
      </c>
      <c r="B198" s="30" t="s">
        <v>24</v>
      </c>
      <c r="C198" s="48" t="s">
        <v>73</v>
      </c>
      <c r="D198" s="48" t="s">
        <v>74</v>
      </c>
      <c r="E198" s="38">
        <v>640.0</v>
      </c>
      <c r="F198" s="38" t="s">
        <v>10</v>
      </c>
      <c r="G198" s="32" t="s">
        <v>71</v>
      </c>
      <c r="H198" s="37">
        <v>640.0</v>
      </c>
      <c r="I198" s="34">
        <v>1.710004543E9</v>
      </c>
      <c r="J198" s="34" t="s">
        <v>45</v>
      </c>
      <c r="K198" s="35">
        <v>46331.0</v>
      </c>
      <c r="L198" s="34">
        <v>7.1000039E9</v>
      </c>
      <c r="M198" s="36" t="str">
        <f t="shared" si="35"/>
        <v>SUDAH PO</v>
      </c>
      <c r="N198" s="33" t="s">
        <v>46</v>
      </c>
      <c r="O198" s="38" t="str">
        <f t="shared" si="36"/>
        <v>CLOSE</v>
      </c>
      <c r="P198" s="37" t="s">
        <v>64</v>
      </c>
      <c r="Q198" s="37">
        <v>640.0</v>
      </c>
      <c r="R198" s="37">
        <f t="shared" si="37"/>
        <v>0</v>
      </c>
    </row>
    <row r="199">
      <c r="A199" s="33" t="s">
        <v>291</v>
      </c>
      <c r="B199" s="30" t="s">
        <v>24</v>
      </c>
      <c r="C199" s="48" t="s">
        <v>80</v>
      </c>
      <c r="D199" s="96" t="s">
        <v>292</v>
      </c>
      <c r="E199" s="107">
        <v>224.0</v>
      </c>
      <c r="F199" s="38" t="s">
        <v>10</v>
      </c>
      <c r="G199" s="33" t="s">
        <v>27</v>
      </c>
      <c r="H199" s="37">
        <v>224.0</v>
      </c>
      <c r="I199" s="53">
        <v>1.710004599E9</v>
      </c>
      <c r="J199" s="58" t="s">
        <v>64</v>
      </c>
      <c r="K199" s="35">
        <v>46301.0</v>
      </c>
      <c r="L199" s="36"/>
      <c r="M199" s="36" t="str">
        <f t="shared" si="35"/>
        <v>BELUM PO</v>
      </c>
      <c r="N199" s="37"/>
      <c r="O199" s="38" t="str">
        <f t="shared" si="36"/>
        <v>BELUM DATANG</v>
      </c>
      <c r="P199" s="37"/>
      <c r="Q199" s="37"/>
      <c r="R199" s="37">
        <f t="shared" si="37"/>
        <v>-224</v>
      </c>
    </row>
    <row r="200">
      <c r="A200" s="38" t="s">
        <v>293</v>
      </c>
      <c r="B200" s="30" t="s">
        <v>24</v>
      </c>
      <c r="C200" s="48" t="s">
        <v>80</v>
      </c>
      <c r="D200" s="96" t="s">
        <v>294</v>
      </c>
      <c r="E200" s="107">
        <v>176.0</v>
      </c>
      <c r="F200" s="38" t="s">
        <v>10</v>
      </c>
      <c r="G200" s="32" t="s">
        <v>71</v>
      </c>
      <c r="H200" s="33">
        <v>176.0</v>
      </c>
      <c r="I200" s="34">
        <v>1.710004644E9</v>
      </c>
      <c r="J200" s="56">
        <v>46059.0</v>
      </c>
      <c r="K200" s="56">
        <v>46301.0</v>
      </c>
      <c r="L200" s="36"/>
      <c r="M200" s="36" t="str">
        <f t="shared" si="35"/>
        <v>BELUM PO</v>
      </c>
      <c r="N200" s="37"/>
      <c r="O200" s="38" t="str">
        <f t="shared" si="36"/>
        <v>BELUM DATANG</v>
      </c>
      <c r="P200" s="37"/>
      <c r="Q200" s="37"/>
      <c r="R200" s="37">
        <f t="shared" si="37"/>
        <v>-176</v>
      </c>
    </row>
    <row r="201">
      <c r="A201" s="29" t="s">
        <v>295</v>
      </c>
      <c r="B201" s="30" t="s">
        <v>24</v>
      </c>
      <c r="C201" s="48" t="s">
        <v>80</v>
      </c>
      <c r="D201" s="96" t="s">
        <v>296</v>
      </c>
      <c r="E201" s="107">
        <v>312.0</v>
      </c>
      <c r="F201" s="38" t="s">
        <v>10</v>
      </c>
      <c r="G201" s="32" t="s">
        <v>71</v>
      </c>
      <c r="H201" s="33">
        <v>312.0</v>
      </c>
      <c r="I201" s="33">
        <v>1.710004658E9</v>
      </c>
      <c r="J201" s="56">
        <v>46240.0</v>
      </c>
      <c r="K201" s="56">
        <v>46301.0</v>
      </c>
      <c r="L201" s="36"/>
      <c r="M201" s="36" t="str">
        <f t="shared" si="35"/>
        <v>BELUM PO</v>
      </c>
      <c r="N201" s="37"/>
      <c r="O201" s="38" t="str">
        <f t="shared" si="36"/>
        <v>BELUM DATANG</v>
      </c>
      <c r="P201" s="37"/>
      <c r="Q201" s="37"/>
      <c r="R201" s="37">
        <f t="shared" si="37"/>
        <v>-312</v>
      </c>
    </row>
    <row r="202">
      <c r="A202" s="33" t="s">
        <v>297</v>
      </c>
      <c r="B202" s="30" t="s">
        <v>24</v>
      </c>
      <c r="C202" s="48" t="s">
        <v>80</v>
      </c>
      <c r="D202" s="48" t="s">
        <v>298</v>
      </c>
      <c r="E202" s="69">
        <v>168.0</v>
      </c>
      <c r="F202" s="38" t="s">
        <v>10</v>
      </c>
      <c r="G202" s="37"/>
      <c r="H202" s="33">
        <v>168.0</v>
      </c>
      <c r="I202" s="53">
        <v>1.710004599E9</v>
      </c>
      <c r="J202" s="58" t="s">
        <v>64</v>
      </c>
      <c r="K202" s="35">
        <v>46301.0</v>
      </c>
      <c r="L202" s="36"/>
      <c r="M202" s="36" t="str">
        <f t="shared" si="35"/>
        <v>BELUM PO</v>
      </c>
      <c r="N202" s="37"/>
      <c r="O202" s="38" t="str">
        <f t="shared" si="36"/>
        <v>BELUM DATANG</v>
      </c>
      <c r="P202" s="37"/>
      <c r="Q202" s="37"/>
      <c r="R202" s="37">
        <f t="shared" si="37"/>
        <v>-168</v>
      </c>
    </row>
    <row r="203">
      <c r="A203" s="38" t="s">
        <v>299</v>
      </c>
      <c r="B203" s="30" t="s">
        <v>24</v>
      </c>
      <c r="C203" s="48" t="s">
        <v>80</v>
      </c>
      <c r="D203" s="48" t="s">
        <v>300</v>
      </c>
      <c r="E203" s="69">
        <v>32.0</v>
      </c>
      <c r="F203" s="38" t="s">
        <v>10</v>
      </c>
      <c r="G203" s="32" t="s">
        <v>71</v>
      </c>
      <c r="H203" s="33">
        <v>32.0</v>
      </c>
      <c r="I203" s="54">
        <v>1.710004599E9</v>
      </c>
      <c r="J203" s="58" t="s">
        <v>64</v>
      </c>
      <c r="K203" s="35">
        <v>46301.0</v>
      </c>
      <c r="L203" s="33">
        <v>7.100003986E9</v>
      </c>
      <c r="M203" s="36" t="str">
        <f t="shared" si="35"/>
        <v>SUDAH PO</v>
      </c>
      <c r="N203" s="56">
        <v>46301.0</v>
      </c>
      <c r="O203" s="38" t="str">
        <f t="shared" si="36"/>
        <v>BELUM DATANG</v>
      </c>
      <c r="P203" s="37"/>
      <c r="Q203" s="37"/>
      <c r="R203" s="37">
        <f t="shared" si="37"/>
        <v>-32</v>
      </c>
    </row>
    <row r="204">
      <c r="A204" s="33" t="s">
        <v>301</v>
      </c>
      <c r="B204" s="30" t="s">
        <v>24</v>
      </c>
      <c r="C204" s="48" t="s">
        <v>80</v>
      </c>
      <c r="D204" s="48" t="s">
        <v>302</v>
      </c>
      <c r="E204" s="38">
        <v>8.0</v>
      </c>
      <c r="F204" s="38" t="s">
        <v>10</v>
      </c>
      <c r="G204" s="37"/>
      <c r="H204" s="54">
        <v>8.0</v>
      </c>
      <c r="I204" s="34">
        <v>1.710004658E9</v>
      </c>
      <c r="J204" s="35">
        <v>46240.0</v>
      </c>
      <c r="K204" s="35">
        <v>46301.0</v>
      </c>
      <c r="L204" s="36"/>
      <c r="M204" s="36" t="str">
        <f t="shared" si="35"/>
        <v>BELUM PO</v>
      </c>
      <c r="N204" s="36"/>
      <c r="O204" s="36" t="str">
        <f t="shared" si="36"/>
        <v>BELUM DATANG</v>
      </c>
      <c r="P204" s="37"/>
      <c r="Q204" s="37"/>
      <c r="R204" s="70">
        <f t="shared" si="37"/>
        <v>-8</v>
      </c>
    </row>
    <row r="205">
      <c r="A205" s="38" t="s">
        <v>303</v>
      </c>
      <c r="B205" s="30" t="s">
        <v>24</v>
      </c>
      <c r="C205" s="48" t="s">
        <v>80</v>
      </c>
      <c r="D205" s="48" t="s">
        <v>304</v>
      </c>
      <c r="E205" s="38">
        <v>16.0</v>
      </c>
      <c r="F205" s="38" t="s">
        <v>10</v>
      </c>
      <c r="G205" s="37"/>
      <c r="H205" s="54">
        <v>16.0</v>
      </c>
      <c r="I205" s="58">
        <v>1.710004599E9</v>
      </c>
      <c r="J205" s="58" t="s">
        <v>64</v>
      </c>
      <c r="K205" s="58" t="s">
        <v>56</v>
      </c>
      <c r="L205" s="33">
        <v>7.100003986E9</v>
      </c>
      <c r="M205" s="36" t="str">
        <f t="shared" si="35"/>
        <v>SUDAH PO</v>
      </c>
      <c r="N205" s="108">
        <v>46301.0</v>
      </c>
      <c r="O205" s="36" t="str">
        <f t="shared" si="36"/>
        <v>BELUM DATANG</v>
      </c>
      <c r="P205" s="37"/>
      <c r="Q205" s="37"/>
      <c r="R205" s="70">
        <f t="shared" si="37"/>
        <v>-16</v>
      </c>
    </row>
    <row r="206">
      <c r="A206" s="38" t="s">
        <v>305</v>
      </c>
      <c r="B206" s="30" t="s">
        <v>24</v>
      </c>
      <c r="C206" s="48" t="s">
        <v>94</v>
      </c>
      <c r="D206" s="48" t="s">
        <v>63</v>
      </c>
      <c r="E206" s="60">
        <v>32.0</v>
      </c>
      <c r="F206" s="38" t="s">
        <v>10</v>
      </c>
      <c r="G206" s="32" t="s">
        <v>71</v>
      </c>
      <c r="H206" s="69">
        <v>35.0</v>
      </c>
      <c r="I206" s="34">
        <v>1.710004599E9</v>
      </c>
      <c r="J206" s="34" t="s">
        <v>64</v>
      </c>
      <c r="K206" s="35">
        <v>46301.0</v>
      </c>
      <c r="L206" s="33">
        <v>7.100003974E9</v>
      </c>
      <c r="M206" s="36" t="str">
        <f t="shared" si="35"/>
        <v>SUDAH PO</v>
      </c>
      <c r="N206" s="36"/>
      <c r="O206" s="36" t="str">
        <f t="shared" si="36"/>
        <v>BELUM DATANG</v>
      </c>
      <c r="P206" s="37"/>
      <c r="Q206" s="37"/>
      <c r="R206" s="70">
        <f t="shared" si="37"/>
        <v>-35</v>
      </c>
    </row>
    <row r="207">
      <c r="A207" s="38" t="s">
        <v>306</v>
      </c>
      <c r="B207" s="30" t="s">
        <v>24</v>
      </c>
      <c r="C207" s="48" t="s">
        <v>307</v>
      </c>
      <c r="D207" s="48" t="s">
        <v>67</v>
      </c>
      <c r="E207" s="38">
        <v>80.0</v>
      </c>
      <c r="F207" s="38" t="s">
        <v>10</v>
      </c>
      <c r="G207" s="32" t="s">
        <v>71</v>
      </c>
      <c r="H207" s="70">
        <v>80.0</v>
      </c>
      <c r="I207" s="58">
        <v>1.710004543E9</v>
      </c>
      <c r="J207" s="54" t="s">
        <v>45</v>
      </c>
      <c r="K207" s="61">
        <v>46331.0</v>
      </c>
      <c r="L207" s="36">
        <v>7.1000039E9</v>
      </c>
      <c r="M207" s="36" t="str">
        <f t="shared" si="35"/>
        <v>SUDAH PO</v>
      </c>
      <c r="N207" s="36" t="s">
        <v>46</v>
      </c>
      <c r="O207" s="36" t="str">
        <f t="shared" si="36"/>
        <v>CLOSE</v>
      </c>
      <c r="P207" s="33" t="s">
        <v>64</v>
      </c>
      <c r="Q207" s="33">
        <v>80.0</v>
      </c>
      <c r="R207" s="70">
        <f t="shared" si="37"/>
        <v>0</v>
      </c>
    </row>
    <row r="208">
      <c r="A208" s="38" t="s">
        <v>308</v>
      </c>
      <c r="B208" s="30" t="s">
        <v>24</v>
      </c>
      <c r="C208" s="48" t="s">
        <v>70</v>
      </c>
      <c r="D208" s="48" t="s">
        <v>70</v>
      </c>
      <c r="E208" s="38">
        <v>16.0</v>
      </c>
      <c r="F208" s="38" t="s">
        <v>10</v>
      </c>
      <c r="G208" s="32" t="s">
        <v>71</v>
      </c>
      <c r="H208" s="70">
        <v>16.0</v>
      </c>
      <c r="I208" s="38">
        <v>1.710004543E9</v>
      </c>
      <c r="J208" s="58" t="s">
        <v>45</v>
      </c>
      <c r="K208" s="61">
        <v>46331.0</v>
      </c>
      <c r="L208" s="36">
        <v>7.1000039E9</v>
      </c>
      <c r="M208" s="36" t="str">
        <f t="shared" si="35"/>
        <v>SUDAH PO</v>
      </c>
      <c r="N208" s="36" t="s">
        <v>55</v>
      </c>
      <c r="O208" s="36" t="str">
        <f t="shared" si="36"/>
        <v>CLOSE</v>
      </c>
      <c r="P208" s="33" t="s">
        <v>64</v>
      </c>
      <c r="Q208" s="33">
        <v>16.0</v>
      </c>
      <c r="R208" s="70">
        <f t="shared" si="37"/>
        <v>0</v>
      </c>
    </row>
    <row r="209">
      <c r="A209" s="38" t="s">
        <v>309</v>
      </c>
      <c r="B209" s="30" t="s">
        <v>24</v>
      </c>
      <c r="C209" s="48" t="s">
        <v>310</v>
      </c>
      <c r="D209" s="48" t="s">
        <v>74</v>
      </c>
      <c r="E209" s="38">
        <v>648.0</v>
      </c>
      <c r="F209" s="38" t="s">
        <v>10</v>
      </c>
      <c r="G209" s="32" t="s">
        <v>71</v>
      </c>
      <c r="H209" s="70">
        <v>648.0</v>
      </c>
      <c r="I209" s="34">
        <v>1.710004543E9</v>
      </c>
      <c r="J209" s="34" t="s">
        <v>45</v>
      </c>
      <c r="K209" s="35">
        <v>46331.0</v>
      </c>
      <c r="L209" s="34">
        <v>7.1000039E9</v>
      </c>
      <c r="M209" s="36" t="str">
        <f t="shared" si="35"/>
        <v>SUDAH PO</v>
      </c>
      <c r="N209" s="33" t="s">
        <v>46</v>
      </c>
      <c r="O209" s="36" t="str">
        <f t="shared" si="36"/>
        <v>CLOSE</v>
      </c>
      <c r="P209" s="37" t="s">
        <v>64</v>
      </c>
      <c r="Q209" s="37">
        <v>648.0</v>
      </c>
      <c r="R209" s="70">
        <f t="shared" si="37"/>
        <v>0</v>
      </c>
    </row>
    <row r="210">
      <c r="A210" s="74"/>
      <c r="B210" s="30" t="s">
        <v>24</v>
      </c>
      <c r="C210" s="47" t="s">
        <v>104</v>
      </c>
      <c r="D210" s="47" t="s">
        <v>105</v>
      </c>
      <c r="E210" s="38">
        <v>1080.0</v>
      </c>
      <c r="F210" s="38" t="s">
        <v>106</v>
      </c>
      <c r="G210" s="37"/>
      <c r="H210" s="70"/>
      <c r="I210" s="38"/>
      <c r="J210" s="38"/>
      <c r="K210" s="38"/>
      <c r="L210" s="36"/>
      <c r="M210" s="36" t="str">
        <f t="shared" si="35"/>
        <v>BELUM PO</v>
      </c>
      <c r="N210" s="36"/>
      <c r="O210" s="36" t="str">
        <f t="shared" si="36"/>
        <v>BELUM DATANG</v>
      </c>
      <c r="P210" s="37"/>
      <c r="Q210" s="37"/>
      <c r="R210" s="70">
        <f t="shared" si="37"/>
        <v>0</v>
      </c>
    </row>
    <row r="211">
      <c r="A211" s="38" t="s">
        <v>311</v>
      </c>
      <c r="B211" s="30" t="s">
        <v>24</v>
      </c>
      <c r="C211" s="48" t="s">
        <v>108</v>
      </c>
      <c r="D211" s="48" t="s">
        <v>109</v>
      </c>
      <c r="E211" s="60">
        <v>7628.0</v>
      </c>
      <c r="F211" s="38" t="s">
        <v>110</v>
      </c>
      <c r="G211" s="32" t="s">
        <v>71</v>
      </c>
      <c r="H211" s="54">
        <v>7628.0</v>
      </c>
      <c r="I211" s="34">
        <v>1.710004543E9</v>
      </c>
      <c r="J211" s="34" t="s">
        <v>46</v>
      </c>
      <c r="K211" s="35">
        <v>46331.0</v>
      </c>
      <c r="L211" s="33">
        <v>7.100003897E9</v>
      </c>
      <c r="M211" s="36" t="str">
        <f t="shared" si="35"/>
        <v>SUDAH PO</v>
      </c>
      <c r="N211" s="56">
        <v>45966.0</v>
      </c>
      <c r="O211" s="36" t="str">
        <f t="shared" si="36"/>
        <v>BELUM DATANG</v>
      </c>
      <c r="P211" s="37"/>
      <c r="Q211" s="37"/>
      <c r="R211" s="70">
        <f t="shared" si="37"/>
        <v>-7628</v>
      </c>
    </row>
    <row r="212">
      <c r="A212" s="38" t="s">
        <v>111</v>
      </c>
      <c r="B212" s="30" t="s">
        <v>24</v>
      </c>
      <c r="C212" s="48" t="s">
        <v>112</v>
      </c>
      <c r="D212" s="48" t="s">
        <v>113</v>
      </c>
      <c r="E212" s="32">
        <v>7628.0</v>
      </c>
      <c r="F212" s="32" t="s">
        <v>110</v>
      </c>
      <c r="G212" s="32" t="s">
        <v>71</v>
      </c>
      <c r="H212" s="59">
        <v>7628.0</v>
      </c>
      <c r="I212" s="58">
        <v>1.710004599E9</v>
      </c>
      <c r="J212" s="58" t="s">
        <v>64</v>
      </c>
      <c r="K212" s="58" t="s">
        <v>56</v>
      </c>
      <c r="L212" s="36"/>
      <c r="M212" s="36" t="str">
        <f t="shared" si="35"/>
        <v>BELUM PO</v>
      </c>
      <c r="N212" s="36"/>
      <c r="O212" s="38" t="str">
        <f t="shared" si="36"/>
        <v>BELUM DATANG</v>
      </c>
      <c r="P212" s="37"/>
      <c r="Q212" s="37"/>
      <c r="R212" s="70">
        <f t="shared" si="37"/>
        <v>-7628</v>
      </c>
    </row>
    <row r="213">
      <c r="A213" s="38" t="s">
        <v>114</v>
      </c>
      <c r="B213" s="30" t="s">
        <v>24</v>
      </c>
      <c r="C213" s="48" t="s">
        <v>115</v>
      </c>
      <c r="D213" s="48" t="s">
        <v>116</v>
      </c>
      <c r="E213" s="59">
        <v>300.0</v>
      </c>
      <c r="F213" s="32" t="s">
        <v>117</v>
      </c>
      <c r="G213" s="32" t="s">
        <v>71</v>
      </c>
      <c r="H213" s="54">
        <v>300.0</v>
      </c>
      <c r="I213" s="58">
        <v>1.710004543E9</v>
      </c>
      <c r="J213" s="58" t="s">
        <v>45</v>
      </c>
      <c r="K213" s="61">
        <v>46331.0</v>
      </c>
      <c r="L213" s="36">
        <v>7.10000391E9</v>
      </c>
      <c r="M213" s="36" t="str">
        <f t="shared" si="35"/>
        <v>SUDAH PO</v>
      </c>
      <c r="N213" s="36" t="s">
        <v>55</v>
      </c>
      <c r="O213" s="36" t="str">
        <f t="shared" si="36"/>
        <v>CLOSE</v>
      </c>
      <c r="P213" s="33" t="s">
        <v>204</v>
      </c>
      <c r="Q213" s="33">
        <v>300.0</v>
      </c>
      <c r="R213" s="70">
        <f t="shared" si="37"/>
        <v>0</v>
      </c>
    </row>
    <row r="214">
      <c r="A214" s="38" t="s">
        <v>118</v>
      </c>
      <c r="B214" s="30" t="s">
        <v>24</v>
      </c>
      <c r="C214" s="48" t="s">
        <v>119</v>
      </c>
      <c r="D214" s="48" t="s">
        <v>120</v>
      </c>
      <c r="E214" s="32">
        <v>152.0</v>
      </c>
      <c r="F214" s="32" t="s">
        <v>117</v>
      </c>
      <c r="G214" s="32" t="s">
        <v>71</v>
      </c>
      <c r="H214" s="38">
        <v>152.0</v>
      </c>
      <c r="I214" s="58">
        <v>1.710004543E9</v>
      </c>
      <c r="J214" s="58" t="s">
        <v>312</v>
      </c>
      <c r="K214" s="61">
        <v>46331.0</v>
      </c>
      <c r="L214" s="38">
        <v>7.1000039E9</v>
      </c>
      <c r="M214" s="38" t="str">
        <f t="shared" si="35"/>
        <v>SUDAH PO</v>
      </c>
      <c r="N214" s="33" t="s">
        <v>55</v>
      </c>
      <c r="O214" s="38" t="str">
        <f t="shared" si="36"/>
        <v>CLOSE</v>
      </c>
      <c r="P214" s="33" t="s">
        <v>204</v>
      </c>
      <c r="Q214" s="33">
        <v>152.0</v>
      </c>
      <c r="R214" s="38">
        <f t="shared" si="37"/>
        <v>0</v>
      </c>
    </row>
    <row r="215">
      <c r="A215" s="79" t="s">
        <v>122</v>
      </c>
      <c r="B215" s="30" t="s">
        <v>24</v>
      </c>
      <c r="C215" s="76" t="s">
        <v>123</v>
      </c>
      <c r="D215" s="48" t="s">
        <v>124</v>
      </c>
      <c r="E215" s="32">
        <v>400.0</v>
      </c>
      <c r="F215" s="32" t="s">
        <v>10</v>
      </c>
      <c r="G215" s="32" t="s">
        <v>71</v>
      </c>
      <c r="H215" s="37">
        <v>400.0</v>
      </c>
      <c r="I215" s="53">
        <v>1.710004599E9</v>
      </c>
      <c r="J215" s="53" t="s">
        <v>64</v>
      </c>
      <c r="K215" s="35">
        <v>46301.0</v>
      </c>
      <c r="L215" s="33">
        <v>7.100003944E9</v>
      </c>
      <c r="M215" s="36" t="str">
        <f t="shared" si="35"/>
        <v>SUDAH PO</v>
      </c>
      <c r="N215" s="56">
        <v>46208.0</v>
      </c>
      <c r="O215" s="38" t="str">
        <f t="shared" si="36"/>
        <v>BELUM DATANG</v>
      </c>
      <c r="P215" s="37"/>
      <c r="Q215" s="37"/>
      <c r="R215" s="37">
        <f t="shared" si="37"/>
        <v>-400</v>
      </c>
    </row>
    <row r="216">
      <c r="A216" s="75" t="s">
        <v>125</v>
      </c>
      <c r="B216" s="30" t="s">
        <v>24</v>
      </c>
      <c r="C216" s="76" t="s">
        <v>126</v>
      </c>
      <c r="D216" s="48" t="s">
        <v>127</v>
      </c>
      <c r="E216" s="32">
        <v>400.0</v>
      </c>
      <c r="F216" s="32" t="s">
        <v>10</v>
      </c>
      <c r="G216" s="32" t="s">
        <v>71</v>
      </c>
      <c r="H216" s="37">
        <v>400.0</v>
      </c>
      <c r="I216" s="37">
        <v>1.710004599E9</v>
      </c>
      <c r="J216" s="58" t="s">
        <v>64</v>
      </c>
      <c r="K216" s="58" t="s">
        <v>56</v>
      </c>
      <c r="L216" s="33">
        <v>7.100003944E9</v>
      </c>
      <c r="M216" s="36" t="str">
        <f t="shared" si="35"/>
        <v>SUDAH PO</v>
      </c>
      <c r="N216" s="56">
        <v>46208.0</v>
      </c>
      <c r="O216" s="38" t="str">
        <f t="shared" si="36"/>
        <v>BELUM DATANG</v>
      </c>
      <c r="P216" s="37"/>
      <c r="Q216" s="37"/>
      <c r="R216" s="37">
        <f t="shared" si="37"/>
        <v>-400</v>
      </c>
    </row>
    <row r="217">
      <c r="A217" s="75" t="s">
        <v>129</v>
      </c>
      <c r="B217" s="30" t="s">
        <v>24</v>
      </c>
      <c r="C217" s="76" t="s">
        <v>130</v>
      </c>
      <c r="D217" s="48" t="s">
        <v>131</v>
      </c>
      <c r="E217" s="32">
        <v>400.0</v>
      </c>
      <c r="F217" s="32" t="s">
        <v>10</v>
      </c>
      <c r="G217" s="32" t="s">
        <v>71</v>
      </c>
      <c r="H217" s="37">
        <v>400.0</v>
      </c>
      <c r="I217" s="53">
        <v>1.710004599E9</v>
      </c>
      <c r="J217" s="58" t="s">
        <v>132</v>
      </c>
      <c r="K217" s="58" t="s">
        <v>56</v>
      </c>
      <c r="L217" s="33">
        <v>7.100003944E9</v>
      </c>
      <c r="M217" s="36" t="str">
        <f t="shared" si="35"/>
        <v>SUDAH PO</v>
      </c>
      <c r="N217" s="56">
        <v>46208.0</v>
      </c>
      <c r="O217" s="38" t="str">
        <f t="shared" si="36"/>
        <v>CLOSE</v>
      </c>
      <c r="P217" s="33" t="s">
        <v>128</v>
      </c>
      <c r="Q217" s="33">
        <v>400.0</v>
      </c>
      <c r="R217" s="37">
        <f t="shared" si="37"/>
        <v>0</v>
      </c>
    </row>
    <row r="218">
      <c r="A218" s="75" t="s">
        <v>133</v>
      </c>
      <c r="B218" s="30" t="s">
        <v>24</v>
      </c>
      <c r="C218" s="76" t="s">
        <v>134</v>
      </c>
      <c r="D218" s="48" t="s">
        <v>135</v>
      </c>
      <c r="E218" s="38">
        <v>800.0</v>
      </c>
      <c r="F218" s="38" t="s">
        <v>10</v>
      </c>
      <c r="G218" s="37"/>
      <c r="H218" s="37">
        <v>800.0</v>
      </c>
      <c r="I218" s="53">
        <v>1.710004591E9</v>
      </c>
      <c r="J218" s="58" t="s">
        <v>136</v>
      </c>
      <c r="K218" s="38"/>
      <c r="L218" s="36"/>
      <c r="M218" s="36" t="str">
        <f t="shared" si="35"/>
        <v>BELUM PO</v>
      </c>
      <c r="N218" s="37"/>
      <c r="O218" s="38" t="str">
        <f t="shared" si="36"/>
        <v>BELUM DATANG</v>
      </c>
      <c r="P218" s="37"/>
      <c r="Q218" s="37"/>
      <c r="R218" s="37">
        <f t="shared" si="37"/>
        <v>-800</v>
      </c>
    </row>
    <row r="219">
      <c r="A219" s="74"/>
      <c r="B219" s="30" t="s">
        <v>24</v>
      </c>
      <c r="C219" s="47" t="s">
        <v>137</v>
      </c>
      <c r="D219" s="47" t="s">
        <v>138</v>
      </c>
      <c r="E219" s="38">
        <v>640.0</v>
      </c>
      <c r="F219" s="38" t="s">
        <v>106</v>
      </c>
      <c r="G219" s="37"/>
      <c r="H219" s="37"/>
      <c r="I219" s="37"/>
      <c r="J219" s="38"/>
      <c r="K219" s="38"/>
      <c r="L219" s="36"/>
      <c r="M219" s="36" t="str">
        <f t="shared" si="35"/>
        <v>BELUM PO</v>
      </c>
      <c r="N219" s="37"/>
      <c r="O219" s="38" t="str">
        <f t="shared" si="36"/>
        <v>BELUM DATANG</v>
      </c>
      <c r="P219" s="37"/>
      <c r="Q219" s="37"/>
      <c r="R219" s="37">
        <f t="shared" si="37"/>
        <v>0</v>
      </c>
    </row>
    <row r="220">
      <c r="A220" s="37" t="s">
        <v>313</v>
      </c>
      <c r="B220" s="30" t="s">
        <v>24</v>
      </c>
      <c r="C220" s="48" t="s">
        <v>140</v>
      </c>
      <c r="D220" s="48" t="s">
        <v>109</v>
      </c>
      <c r="E220" s="32">
        <v>3296.0</v>
      </c>
      <c r="F220" s="38" t="s">
        <v>110</v>
      </c>
      <c r="G220" s="32" t="s">
        <v>71</v>
      </c>
      <c r="H220" s="53">
        <v>3296.0</v>
      </c>
      <c r="I220" s="34">
        <v>1.710004543E9</v>
      </c>
      <c r="J220" s="35">
        <v>46208.0</v>
      </c>
      <c r="K220" s="35">
        <v>46301.0</v>
      </c>
      <c r="L220" s="33">
        <v>7.100003947E9</v>
      </c>
      <c r="M220" s="36" t="str">
        <f t="shared" si="35"/>
        <v>SUDAH PO</v>
      </c>
      <c r="N220" s="33" t="s">
        <v>78</v>
      </c>
      <c r="O220" s="38" t="str">
        <f t="shared" si="36"/>
        <v>BELUM DATANG</v>
      </c>
      <c r="P220" s="37"/>
      <c r="Q220" s="37"/>
      <c r="R220" s="37">
        <f t="shared" si="37"/>
        <v>-3296</v>
      </c>
    </row>
    <row r="221">
      <c r="A221" s="38" t="s">
        <v>111</v>
      </c>
      <c r="B221" s="30" t="s">
        <v>24</v>
      </c>
      <c r="C221" s="48" t="s">
        <v>112</v>
      </c>
      <c r="D221" s="48" t="s">
        <v>141</v>
      </c>
      <c r="E221" s="32">
        <v>3296.0</v>
      </c>
      <c r="F221" s="32" t="s">
        <v>110</v>
      </c>
      <c r="G221" s="32" t="s">
        <v>71</v>
      </c>
      <c r="H221" s="32">
        <v>3296.0</v>
      </c>
      <c r="I221" s="53">
        <v>1.710004599E9</v>
      </c>
      <c r="J221" s="58" t="s">
        <v>64</v>
      </c>
      <c r="K221" s="58" t="s">
        <v>56</v>
      </c>
      <c r="L221" s="36"/>
      <c r="M221" s="36" t="str">
        <f t="shared" si="35"/>
        <v>BELUM PO</v>
      </c>
      <c r="N221" s="37"/>
      <c r="O221" s="38" t="str">
        <f t="shared" si="36"/>
        <v>BELUM DATANG</v>
      </c>
      <c r="P221" s="37"/>
      <c r="Q221" s="37"/>
      <c r="R221" s="37">
        <f t="shared" si="37"/>
        <v>-3296</v>
      </c>
    </row>
    <row r="222">
      <c r="A222" s="38" t="s">
        <v>114</v>
      </c>
      <c r="B222" s="30" t="s">
        <v>24</v>
      </c>
      <c r="C222" s="48" t="s">
        <v>115</v>
      </c>
      <c r="D222" s="48" t="s">
        <v>116</v>
      </c>
      <c r="E222" s="59">
        <v>300.0</v>
      </c>
      <c r="F222" s="32" t="s">
        <v>117</v>
      </c>
      <c r="G222" s="32" t="s">
        <v>71</v>
      </c>
      <c r="H222" s="53">
        <v>300.0</v>
      </c>
      <c r="I222" s="53">
        <v>1.710004543E9</v>
      </c>
      <c r="J222" s="58" t="s">
        <v>45</v>
      </c>
      <c r="K222" s="61">
        <v>46331.0</v>
      </c>
      <c r="L222" s="36">
        <v>7.10000391E9</v>
      </c>
      <c r="M222" s="36" t="str">
        <f t="shared" si="35"/>
        <v>SUDAH PO</v>
      </c>
      <c r="N222" s="37" t="s">
        <v>55</v>
      </c>
      <c r="O222" s="38" t="str">
        <f t="shared" si="36"/>
        <v>CLOSE</v>
      </c>
      <c r="P222" s="33" t="s">
        <v>204</v>
      </c>
      <c r="Q222" s="33">
        <v>300.0</v>
      </c>
      <c r="R222" s="37">
        <f t="shared" si="37"/>
        <v>0</v>
      </c>
    </row>
    <row r="223">
      <c r="A223" s="38" t="s">
        <v>118</v>
      </c>
      <c r="B223" s="30" t="s">
        <v>24</v>
      </c>
      <c r="C223" s="48" t="s">
        <v>119</v>
      </c>
      <c r="D223" s="48" t="s">
        <v>142</v>
      </c>
      <c r="E223" s="32">
        <v>640.0</v>
      </c>
      <c r="F223" s="32" t="s">
        <v>117</v>
      </c>
      <c r="G223" s="32" t="s">
        <v>71</v>
      </c>
      <c r="H223" s="37">
        <v>640.0</v>
      </c>
      <c r="I223" s="53">
        <v>1.710004543E9</v>
      </c>
      <c r="J223" s="58" t="s">
        <v>314</v>
      </c>
      <c r="K223" s="61">
        <v>46331.0</v>
      </c>
      <c r="L223" s="36">
        <v>7.1000039E9</v>
      </c>
      <c r="M223" s="36" t="str">
        <f t="shared" si="35"/>
        <v>SUDAH PO</v>
      </c>
      <c r="N223" s="33" t="s">
        <v>55</v>
      </c>
      <c r="O223" s="38" t="str">
        <f t="shared" si="36"/>
        <v>CLOSE</v>
      </c>
      <c r="P223" s="33" t="s">
        <v>204</v>
      </c>
      <c r="Q223" s="33">
        <v>640.0</v>
      </c>
      <c r="R223" s="37">
        <f t="shared" si="37"/>
        <v>0</v>
      </c>
    </row>
    <row r="224">
      <c r="A224" s="74"/>
      <c r="B224" s="30" t="s">
        <v>24</v>
      </c>
      <c r="C224" s="47" t="s">
        <v>144</v>
      </c>
      <c r="D224" s="47" t="s">
        <v>105</v>
      </c>
      <c r="E224" s="38">
        <v>968.0</v>
      </c>
      <c r="F224" s="38" t="s">
        <v>106</v>
      </c>
      <c r="G224" s="37"/>
      <c r="H224" s="37"/>
      <c r="I224" s="37"/>
      <c r="J224" s="38"/>
      <c r="K224" s="38"/>
      <c r="L224" s="36"/>
      <c r="M224" s="36" t="str">
        <f t="shared" si="35"/>
        <v>BELUM PO</v>
      </c>
      <c r="N224" s="37"/>
      <c r="O224" s="38" t="str">
        <f t="shared" si="36"/>
        <v>BELUM DATANG</v>
      </c>
      <c r="P224" s="37"/>
      <c r="Q224" s="37"/>
      <c r="R224" s="37">
        <f t="shared" si="37"/>
        <v>0</v>
      </c>
    </row>
    <row r="225">
      <c r="A225" s="38" t="s">
        <v>315</v>
      </c>
      <c r="B225" s="30" t="s">
        <v>24</v>
      </c>
      <c r="C225" s="48" t="s">
        <v>108</v>
      </c>
      <c r="D225" s="48" t="s">
        <v>109</v>
      </c>
      <c r="E225" s="32">
        <v>7628.0</v>
      </c>
      <c r="F225" s="38" t="s">
        <v>110</v>
      </c>
      <c r="G225" s="32" t="s">
        <v>71</v>
      </c>
      <c r="H225" s="53">
        <v>7628.0</v>
      </c>
      <c r="I225" s="34">
        <v>1.710004543E9</v>
      </c>
      <c r="J225" s="35">
        <v>46208.0</v>
      </c>
      <c r="K225" s="35">
        <v>46301.0</v>
      </c>
      <c r="L225" s="33">
        <v>7.100003947E9</v>
      </c>
      <c r="M225" s="36" t="str">
        <f t="shared" si="35"/>
        <v>SUDAH PO</v>
      </c>
      <c r="N225" s="33" t="s">
        <v>78</v>
      </c>
      <c r="O225" s="38" t="str">
        <f t="shared" si="36"/>
        <v>BELUM DATANG</v>
      </c>
      <c r="P225" s="37"/>
      <c r="Q225" s="37"/>
      <c r="R225" s="37">
        <f t="shared" si="37"/>
        <v>-7628</v>
      </c>
    </row>
    <row r="226">
      <c r="A226" s="38" t="s">
        <v>111</v>
      </c>
      <c r="B226" s="30" t="s">
        <v>24</v>
      </c>
      <c r="C226" s="48" t="s">
        <v>112</v>
      </c>
      <c r="D226" s="48" t="s">
        <v>113</v>
      </c>
      <c r="E226" s="32">
        <v>7628.0</v>
      </c>
      <c r="F226" s="32" t="s">
        <v>110</v>
      </c>
      <c r="G226" s="32" t="s">
        <v>71</v>
      </c>
      <c r="H226" s="32">
        <v>7628.0</v>
      </c>
      <c r="I226" s="53">
        <v>1.710004599E9</v>
      </c>
      <c r="J226" s="58" t="s">
        <v>64</v>
      </c>
      <c r="K226" s="58" t="s">
        <v>56</v>
      </c>
      <c r="L226" s="36"/>
      <c r="M226" s="36" t="str">
        <f t="shared" si="35"/>
        <v>BELUM PO</v>
      </c>
      <c r="N226" s="37"/>
      <c r="O226" s="38" t="str">
        <f t="shared" si="36"/>
        <v>BELUM DATANG</v>
      </c>
      <c r="P226" s="37"/>
      <c r="Q226" s="37"/>
      <c r="R226" s="37">
        <f t="shared" si="37"/>
        <v>-7628</v>
      </c>
    </row>
    <row r="227">
      <c r="A227" s="38" t="s">
        <v>114</v>
      </c>
      <c r="B227" s="30" t="s">
        <v>24</v>
      </c>
      <c r="C227" s="48" t="s">
        <v>115</v>
      </c>
      <c r="D227" s="48" t="s">
        <v>116</v>
      </c>
      <c r="E227" s="32">
        <v>300.0</v>
      </c>
      <c r="F227" s="32" t="s">
        <v>117</v>
      </c>
      <c r="G227" s="32" t="s">
        <v>71</v>
      </c>
      <c r="H227" s="37">
        <v>300.0</v>
      </c>
      <c r="I227" s="53">
        <v>1.710004543E9</v>
      </c>
      <c r="J227" s="58" t="s">
        <v>45</v>
      </c>
      <c r="K227" s="61">
        <v>46331.0</v>
      </c>
      <c r="L227" s="36">
        <v>7.10000391E9</v>
      </c>
      <c r="M227" s="36" t="str">
        <f t="shared" si="35"/>
        <v>SUDAH PO</v>
      </c>
      <c r="N227" s="37" t="s">
        <v>55</v>
      </c>
      <c r="O227" s="38" t="str">
        <f t="shared" si="36"/>
        <v>CLOSE</v>
      </c>
      <c r="P227" s="33" t="s">
        <v>204</v>
      </c>
      <c r="Q227" s="33">
        <v>300.0</v>
      </c>
      <c r="R227" s="37">
        <f t="shared" si="37"/>
        <v>0</v>
      </c>
    </row>
    <row r="228">
      <c r="A228" s="38" t="s">
        <v>118</v>
      </c>
      <c r="B228" s="30" t="s">
        <v>24</v>
      </c>
      <c r="C228" s="48" t="s">
        <v>119</v>
      </c>
      <c r="D228" s="48" t="s">
        <v>120</v>
      </c>
      <c r="E228" s="32">
        <v>128.0</v>
      </c>
      <c r="F228" s="32" t="s">
        <v>117</v>
      </c>
      <c r="G228" s="32" t="s">
        <v>71</v>
      </c>
      <c r="H228" s="37">
        <v>128.0</v>
      </c>
      <c r="I228" s="53">
        <v>1.710004599E9</v>
      </c>
      <c r="J228" s="58" t="s">
        <v>64</v>
      </c>
      <c r="K228" s="35">
        <v>46301.0</v>
      </c>
      <c r="L228" s="33">
        <v>7.100003946E9</v>
      </c>
      <c r="M228" s="36" t="str">
        <f t="shared" si="35"/>
        <v>SUDAH PO</v>
      </c>
      <c r="N228" s="56">
        <v>46332.0</v>
      </c>
      <c r="O228" s="38" t="str">
        <f t="shared" si="36"/>
        <v>CLOSE</v>
      </c>
      <c r="P228" s="56">
        <v>46118.0</v>
      </c>
      <c r="Q228" s="33">
        <v>128.0</v>
      </c>
      <c r="R228" s="37">
        <f t="shared" si="37"/>
        <v>0</v>
      </c>
    </row>
    <row r="229">
      <c r="A229" s="79" t="s">
        <v>122</v>
      </c>
      <c r="B229" s="30" t="s">
        <v>24</v>
      </c>
      <c r="C229" s="76" t="s">
        <v>123</v>
      </c>
      <c r="D229" s="48" t="s">
        <v>124</v>
      </c>
      <c r="E229" s="32">
        <v>300.0</v>
      </c>
      <c r="F229" s="32" t="s">
        <v>10</v>
      </c>
      <c r="G229" s="32" t="s">
        <v>71</v>
      </c>
      <c r="H229" s="37">
        <v>300.0</v>
      </c>
      <c r="I229" s="53">
        <v>1.710004599E9</v>
      </c>
      <c r="J229" s="53" t="s">
        <v>64</v>
      </c>
      <c r="K229" s="35">
        <v>46301.0</v>
      </c>
      <c r="L229" s="33">
        <v>7.100003944E9</v>
      </c>
      <c r="M229" s="36" t="str">
        <f t="shared" si="35"/>
        <v>SUDAH PO</v>
      </c>
      <c r="N229" s="56">
        <v>46208.0</v>
      </c>
      <c r="O229" s="38" t="str">
        <f t="shared" si="36"/>
        <v>BELUM DATANG</v>
      </c>
      <c r="P229" s="37"/>
      <c r="Q229" s="37"/>
      <c r="R229" s="37">
        <f t="shared" si="37"/>
        <v>-300</v>
      </c>
    </row>
    <row r="230">
      <c r="A230" s="74"/>
      <c r="B230" s="30" t="s">
        <v>24</v>
      </c>
      <c r="C230" s="47" t="s">
        <v>147</v>
      </c>
      <c r="D230" s="47" t="s">
        <v>138</v>
      </c>
      <c r="E230" s="37">
        <v>632.0</v>
      </c>
      <c r="F230" s="37" t="s">
        <v>106</v>
      </c>
      <c r="G230" s="37"/>
      <c r="H230" s="37"/>
      <c r="I230" s="37"/>
      <c r="J230" s="70"/>
      <c r="K230" s="78"/>
      <c r="L230" s="36"/>
      <c r="M230" s="36" t="str">
        <f t="shared" si="35"/>
        <v>BELUM PO</v>
      </c>
      <c r="N230" s="37"/>
      <c r="O230" s="38" t="str">
        <f t="shared" si="36"/>
        <v>BELUM DATANG</v>
      </c>
      <c r="P230" s="37"/>
      <c r="Q230" s="37"/>
      <c r="R230" s="37">
        <f t="shared" si="37"/>
        <v>0</v>
      </c>
    </row>
    <row r="231">
      <c r="A231" s="38" t="s">
        <v>316</v>
      </c>
      <c r="B231" s="30" t="s">
        <v>24</v>
      </c>
      <c r="C231" s="48" t="s">
        <v>140</v>
      </c>
      <c r="D231" s="48" t="s">
        <v>109</v>
      </c>
      <c r="E231" s="109">
        <v>7628.0</v>
      </c>
      <c r="F231" s="37" t="s">
        <v>110</v>
      </c>
      <c r="G231" s="32" t="s">
        <v>71</v>
      </c>
      <c r="H231" s="53">
        <v>7628.0</v>
      </c>
      <c r="I231" s="34">
        <v>1.710004543E9</v>
      </c>
      <c r="J231" s="35">
        <v>46208.0</v>
      </c>
      <c r="K231" s="35">
        <v>46301.0</v>
      </c>
      <c r="L231" s="33">
        <v>7.100003947E9</v>
      </c>
      <c r="M231" s="36" t="str">
        <f t="shared" si="35"/>
        <v>SUDAH PO</v>
      </c>
      <c r="N231" s="33" t="s">
        <v>78</v>
      </c>
      <c r="O231" s="38" t="str">
        <f t="shared" si="36"/>
        <v>BELUM DATANG</v>
      </c>
      <c r="P231" s="37"/>
      <c r="Q231" s="37"/>
      <c r="R231" s="37">
        <f t="shared" si="37"/>
        <v>-7628</v>
      </c>
    </row>
    <row r="232">
      <c r="A232" s="38" t="s">
        <v>111</v>
      </c>
      <c r="B232" s="30" t="s">
        <v>24</v>
      </c>
      <c r="C232" s="48" t="s">
        <v>112</v>
      </c>
      <c r="D232" s="48" t="s">
        <v>141</v>
      </c>
      <c r="E232" s="109">
        <v>7628.0</v>
      </c>
      <c r="F232" s="32" t="s">
        <v>110</v>
      </c>
      <c r="G232" s="32" t="s">
        <v>71</v>
      </c>
      <c r="H232" s="109">
        <v>7628.0</v>
      </c>
      <c r="I232" s="53">
        <v>1.710004599E9</v>
      </c>
      <c r="J232" s="58" t="s">
        <v>64</v>
      </c>
      <c r="K232" s="58" t="s">
        <v>56</v>
      </c>
      <c r="L232" s="36"/>
      <c r="M232" s="36" t="str">
        <f t="shared" si="35"/>
        <v>BELUM PO</v>
      </c>
      <c r="N232" s="37"/>
      <c r="O232" s="38" t="str">
        <f t="shared" si="36"/>
        <v>BELUM DATANG</v>
      </c>
      <c r="P232" s="37"/>
      <c r="Q232" s="37"/>
      <c r="R232" s="37">
        <f t="shared" si="37"/>
        <v>-7628</v>
      </c>
    </row>
    <row r="233">
      <c r="A233" s="38" t="s">
        <v>114</v>
      </c>
      <c r="B233" s="30" t="s">
        <v>24</v>
      </c>
      <c r="C233" s="48" t="s">
        <v>115</v>
      </c>
      <c r="D233" s="48" t="s">
        <v>116</v>
      </c>
      <c r="E233" s="32">
        <v>300.0</v>
      </c>
      <c r="F233" s="32" t="s">
        <v>117</v>
      </c>
      <c r="G233" s="32" t="s">
        <v>71</v>
      </c>
      <c r="H233" s="37">
        <v>300.0</v>
      </c>
      <c r="I233" s="37">
        <v>1.710004599E9</v>
      </c>
      <c r="J233" s="38" t="s">
        <v>64</v>
      </c>
      <c r="K233" s="56">
        <v>46301.0</v>
      </c>
      <c r="L233" s="33">
        <v>7.100003978E9</v>
      </c>
      <c r="M233" s="36" t="str">
        <f t="shared" si="35"/>
        <v>SUDAH PO</v>
      </c>
      <c r="N233" s="33" t="s">
        <v>78</v>
      </c>
      <c r="O233" s="38" t="str">
        <f t="shared" si="36"/>
        <v>BELUM DATANG</v>
      </c>
      <c r="P233" s="37"/>
      <c r="Q233" s="37"/>
      <c r="R233" s="37">
        <f t="shared" si="37"/>
        <v>-300</v>
      </c>
    </row>
    <row r="234">
      <c r="A234" s="37" t="s">
        <v>118</v>
      </c>
      <c r="B234" s="30" t="s">
        <v>24</v>
      </c>
      <c r="C234" s="48" t="s">
        <v>119</v>
      </c>
      <c r="D234" s="48" t="s">
        <v>142</v>
      </c>
      <c r="E234" s="32">
        <v>648.0</v>
      </c>
      <c r="F234" s="32" t="s">
        <v>117</v>
      </c>
      <c r="G234" s="32" t="s">
        <v>71</v>
      </c>
      <c r="H234" s="37">
        <v>648.0</v>
      </c>
      <c r="I234" s="53">
        <v>1.710004599E9</v>
      </c>
      <c r="J234" s="53" t="s">
        <v>64</v>
      </c>
      <c r="K234" s="35">
        <v>46301.0</v>
      </c>
      <c r="L234" s="33">
        <v>7.100003946E9</v>
      </c>
      <c r="M234" s="36" t="str">
        <f t="shared" si="35"/>
        <v>SUDAH PO</v>
      </c>
      <c r="N234" s="56">
        <v>46332.0</v>
      </c>
      <c r="O234" s="38" t="str">
        <f t="shared" si="36"/>
        <v>CLOSE</v>
      </c>
      <c r="P234" s="56">
        <v>46118.0</v>
      </c>
      <c r="Q234" s="33">
        <v>648.0</v>
      </c>
      <c r="R234" s="37">
        <f t="shared" si="37"/>
        <v>0</v>
      </c>
    </row>
    <row r="235">
      <c r="A235" s="38" t="s">
        <v>150</v>
      </c>
      <c r="B235" s="30" t="s">
        <v>24</v>
      </c>
      <c r="C235" s="48" t="s">
        <v>151</v>
      </c>
      <c r="D235" s="48" t="s">
        <v>152</v>
      </c>
      <c r="E235" s="37">
        <v>320.0</v>
      </c>
      <c r="F235" s="37" t="s">
        <v>44</v>
      </c>
      <c r="G235" s="37"/>
      <c r="H235" s="81">
        <f t="shared" ref="H235:H236" si="38">E235/2.4</f>
        <v>133.3333333</v>
      </c>
      <c r="I235" s="53">
        <v>1.710004543E9</v>
      </c>
      <c r="J235" s="54" t="s">
        <v>45</v>
      </c>
      <c r="K235" s="55">
        <v>46331.0</v>
      </c>
      <c r="L235" s="33">
        <v>7.100003899E9</v>
      </c>
      <c r="M235" s="36" t="str">
        <f t="shared" si="35"/>
        <v>SUDAH PO</v>
      </c>
      <c r="N235" s="33" t="s">
        <v>153</v>
      </c>
      <c r="O235" s="38" t="str">
        <f t="shared" si="36"/>
        <v>DATANG SEBAGIAN</v>
      </c>
      <c r="P235" s="56">
        <v>46239.0</v>
      </c>
      <c r="Q235" s="33">
        <v>133.0</v>
      </c>
      <c r="R235" s="70">
        <f t="shared" si="37"/>
        <v>-0.3333333333</v>
      </c>
    </row>
    <row r="236">
      <c r="A236" s="38" t="s">
        <v>150</v>
      </c>
      <c r="B236" s="30" t="s">
        <v>24</v>
      </c>
      <c r="C236" s="48" t="s">
        <v>154</v>
      </c>
      <c r="D236" s="48" t="s">
        <v>152</v>
      </c>
      <c r="E236" s="37">
        <v>320.0</v>
      </c>
      <c r="F236" s="37" t="s">
        <v>44</v>
      </c>
      <c r="G236" s="37"/>
      <c r="H236" s="81">
        <f t="shared" si="38"/>
        <v>133.3333333</v>
      </c>
      <c r="I236" s="53">
        <v>1.710004543E9</v>
      </c>
      <c r="J236" s="62" t="s">
        <v>45</v>
      </c>
      <c r="K236" s="55">
        <v>46331.0</v>
      </c>
      <c r="L236" s="33">
        <v>7.100003899E9</v>
      </c>
      <c r="M236" s="36" t="str">
        <f t="shared" si="35"/>
        <v>SUDAH PO</v>
      </c>
      <c r="N236" s="33" t="s">
        <v>153</v>
      </c>
      <c r="O236" s="38" t="str">
        <f t="shared" si="36"/>
        <v>DATANG SEBAGIAN</v>
      </c>
      <c r="P236" s="56">
        <v>46239.0</v>
      </c>
      <c r="Q236" s="33">
        <v>133.0</v>
      </c>
      <c r="R236" s="70">
        <f t="shared" si="37"/>
        <v>-0.3333333333</v>
      </c>
    </row>
    <row r="237">
      <c r="A237" s="82" t="s">
        <v>155</v>
      </c>
      <c r="B237" s="30" t="s">
        <v>24</v>
      </c>
      <c r="C237" s="48" t="s">
        <v>156</v>
      </c>
      <c r="D237" s="48" t="s">
        <v>157</v>
      </c>
      <c r="E237" s="38">
        <v>64.0</v>
      </c>
      <c r="F237" s="37" t="s">
        <v>10</v>
      </c>
      <c r="G237" s="37"/>
      <c r="H237" s="83" t="s">
        <v>158</v>
      </c>
      <c r="I237" s="37"/>
      <c r="J237" s="38"/>
      <c r="K237" s="38"/>
      <c r="L237" s="33" t="s">
        <v>159</v>
      </c>
      <c r="M237" s="36" t="str">
        <f t="shared" si="35"/>
        <v>READY STOK</v>
      </c>
      <c r="N237" s="37"/>
      <c r="O237" s="38" t="str">
        <f t="shared" si="36"/>
        <v>BELUM DATANG</v>
      </c>
      <c r="P237" s="37"/>
      <c r="Q237" s="37"/>
      <c r="R237" s="37">
        <f>Q237-G237</f>
        <v>0</v>
      </c>
    </row>
    <row r="238">
      <c r="A238" s="57" t="s">
        <v>317</v>
      </c>
      <c r="B238" s="30" t="s">
        <v>24</v>
      </c>
      <c r="C238" s="84" t="s">
        <v>318</v>
      </c>
      <c r="D238" s="48" t="s">
        <v>162</v>
      </c>
      <c r="E238" s="57">
        <v>1.0</v>
      </c>
      <c r="F238" s="85" t="s">
        <v>163</v>
      </c>
      <c r="G238" s="85" t="s">
        <v>71</v>
      </c>
      <c r="H238" s="85">
        <v>1.0</v>
      </c>
      <c r="I238" s="85">
        <v>1.710004599E9</v>
      </c>
      <c r="J238" s="57" t="s">
        <v>64</v>
      </c>
      <c r="K238" s="87">
        <v>46301.0</v>
      </c>
      <c r="L238" s="86"/>
      <c r="M238" s="86" t="str">
        <f t="shared" si="35"/>
        <v>BELUM PO</v>
      </c>
      <c r="N238" s="85"/>
      <c r="O238" s="88" t="str">
        <f t="shared" si="36"/>
        <v>BELUM DATANG</v>
      </c>
      <c r="P238" s="85"/>
      <c r="Q238" s="85"/>
      <c r="R238" s="85">
        <f>Q238-H238</f>
        <v>-1</v>
      </c>
    </row>
    <row r="239">
      <c r="A239" s="89"/>
      <c r="B239" s="30" t="s">
        <v>24</v>
      </c>
      <c r="C239" s="89"/>
      <c r="D239" s="48" t="s">
        <v>164</v>
      </c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</row>
    <row r="240">
      <c r="A240" s="89"/>
      <c r="B240" s="30" t="s">
        <v>24</v>
      </c>
      <c r="C240" s="89"/>
      <c r="D240" s="48" t="s">
        <v>319</v>
      </c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</row>
    <row r="241">
      <c r="A241" s="89"/>
      <c r="B241" s="30" t="s">
        <v>24</v>
      </c>
      <c r="C241" s="89"/>
      <c r="D241" s="48" t="s">
        <v>166</v>
      </c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</row>
    <row r="242">
      <c r="A242" s="89"/>
      <c r="B242" s="30" t="s">
        <v>24</v>
      </c>
      <c r="C242" s="89"/>
      <c r="D242" s="48" t="s">
        <v>167</v>
      </c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</row>
    <row r="243">
      <c r="A243" s="89"/>
      <c r="B243" s="30" t="s">
        <v>24</v>
      </c>
      <c r="C243" s="89"/>
      <c r="D243" s="48" t="s">
        <v>168</v>
      </c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</row>
    <row r="244">
      <c r="A244" s="89"/>
      <c r="B244" s="30" t="s">
        <v>24</v>
      </c>
      <c r="C244" s="89"/>
      <c r="D244" s="48" t="s">
        <v>169</v>
      </c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</row>
    <row r="245">
      <c r="A245" s="89"/>
      <c r="B245" s="30" t="s">
        <v>24</v>
      </c>
      <c r="C245" s="89"/>
      <c r="D245" s="48" t="s">
        <v>170</v>
      </c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</row>
    <row r="246">
      <c r="A246" s="89"/>
      <c r="B246" s="30" t="s">
        <v>24</v>
      </c>
      <c r="C246" s="89"/>
      <c r="D246" s="48" t="s">
        <v>171</v>
      </c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</row>
    <row r="247">
      <c r="A247" s="18"/>
      <c r="B247" s="30" t="s">
        <v>24</v>
      </c>
      <c r="C247" s="18"/>
      <c r="D247" s="48" t="s">
        <v>172</v>
      </c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</row>
    <row r="248">
      <c r="A248" s="41"/>
      <c r="B248" s="42"/>
      <c r="C248" s="42"/>
      <c r="D248" s="42"/>
      <c r="E248" s="42"/>
      <c r="F248" s="42"/>
      <c r="G248" s="43"/>
      <c r="H248" s="44"/>
      <c r="I248" s="44"/>
      <c r="J248" s="25"/>
      <c r="K248" s="25"/>
      <c r="L248" s="25"/>
      <c r="M248" s="25"/>
      <c r="N248" s="44"/>
      <c r="O248" s="24"/>
      <c r="P248" s="44"/>
      <c r="Q248" s="44"/>
      <c r="R248" s="44"/>
    </row>
    <row r="249">
      <c r="A249" s="74"/>
      <c r="B249" s="30" t="s">
        <v>29</v>
      </c>
      <c r="C249" s="47" t="s">
        <v>38</v>
      </c>
      <c r="D249" s="48" t="s">
        <v>39</v>
      </c>
      <c r="E249" s="38">
        <v>1.0</v>
      </c>
      <c r="F249" s="38" t="s">
        <v>40</v>
      </c>
      <c r="G249" s="37"/>
      <c r="H249" s="49"/>
      <c r="I249" s="49"/>
      <c r="J249" s="51"/>
      <c r="K249" s="51"/>
      <c r="L249" s="51"/>
      <c r="M249" s="51" t="str">
        <f t="shared" ref="M249:M271" si="39">IF(LEN(L249)=10,"SUDAH PO",IF(L249="STOK","READY STOK",IF(L249="PL","READY STOK","BELUM PO")))</f>
        <v>BELUM PO</v>
      </c>
      <c r="N249" s="49"/>
      <c r="O249" s="50" t="str">
        <f t="shared" ref="O249:O271" si="40">IF(H249="STOK","STOK",IF(ISBLANK(P249),"BELUM DATANG",IF(R249=0,"CLOSE","DATANG SEBAGIAN")))</f>
        <v>BELUM DATANG</v>
      </c>
      <c r="P249" s="49"/>
      <c r="Q249" s="49"/>
      <c r="R249" s="49"/>
    </row>
    <row r="250">
      <c r="A250" s="38" t="s">
        <v>320</v>
      </c>
      <c r="B250" s="30" t="s">
        <v>29</v>
      </c>
      <c r="C250" s="48" t="s">
        <v>321</v>
      </c>
      <c r="D250" s="48" t="s">
        <v>322</v>
      </c>
      <c r="E250" s="38">
        <v>6.0</v>
      </c>
      <c r="F250" s="38" t="s">
        <v>44</v>
      </c>
      <c r="G250" s="37"/>
      <c r="H250" s="53">
        <v>6.0</v>
      </c>
      <c r="I250" s="53">
        <v>1.710004599E9</v>
      </c>
      <c r="J250" s="58" t="s">
        <v>64</v>
      </c>
      <c r="K250" s="35">
        <v>46301.0</v>
      </c>
      <c r="L250" s="36"/>
      <c r="M250" s="36" t="str">
        <f t="shared" si="39"/>
        <v>BELUM PO</v>
      </c>
      <c r="N250" s="37"/>
      <c r="O250" s="38" t="str">
        <f t="shared" si="40"/>
        <v>BELUM DATANG</v>
      </c>
      <c r="P250" s="37"/>
      <c r="Q250" s="37"/>
      <c r="R250" s="37">
        <f t="shared" ref="R250:R305" si="41">Q250-H250</f>
        <v>-6</v>
      </c>
    </row>
    <row r="251">
      <c r="A251" s="38" t="s">
        <v>323</v>
      </c>
      <c r="B251" s="30" t="s">
        <v>29</v>
      </c>
      <c r="C251" s="48" t="s">
        <v>321</v>
      </c>
      <c r="D251" s="48" t="s">
        <v>324</v>
      </c>
      <c r="E251" s="32">
        <v>6.0</v>
      </c>
      <c r="F251" s="38" t="s">
        <v>44</v>
      </c>
      <c r="G251" s="110"/>
      <c r="H251" s="37">
        <v>6.0</v>
      </c>
      <c r="I251" s="34">
        <v>1.710004644E9</v>
      </c>
      <c r="J251" s="35">
        <v>46059.0</v>
      </c>
      <c r="K251" s="35">
        <v>46301.0</v>
      </c>
      <c r="L251" s="36"/>
      <c r="M251" s="36" t="str">
        <f t="shared" si="39"/>
        <v>BELUM PO</v>
      </c>
      <c r="N251" s="37"/>
      <c r="O251" s="38" t="str">
        <f t="shared" si="40"/>
        <v>BELUM DATANG</v>
      </c>
      <c r="P251" s="37"/>
      <c r="Q251" s="37"/>
      <c r="R251" s="37">
        <f t="shared" si="41"/>
        <v>-6</v>
      </c>
    </row>
    <row r="252">
      <c r="A252" s="38" t="s">
        <v>325</v>
      </c>
      <c r="B252" s="30" t="s">
        <v>29</v>
      </c>
      <c r="C252" s="48" t="s">
        <v>326</v>
      </c>
      <c r="D252" s="48" t="s">
        <v>322</v>
      </c>
      <c r="E252" s="33">
        <v>15.0</v>
      </c>
      <c r="F252" s="38" t="s">
        <v>44</v>
      </c>
      <c r="G252" s="37"/>
      <c r="H252" s="34">
        <v>15.0</v>
      </c>
      <c r="I252" s="53">
        <v>1.710004599E9</v>
      </c>
      <c r="J252" s="58" t="s">
        <v>64</v>
      </c>
      <c r="K252" s="35">
        <v>46301.0</v>
      </c>
      <c r="L252" s="36"/>
      <c r="M252" s="36" t="str">
        <f t="shared" si="39"/>
        <v>BELUM PO</v>
      </c>
      <c r="N252" s="37"/>
      <c r="O252" s="38" t="str">
        <f t="shared" si="40"/>
        <v>BELUM DATANG</v>
      </c>
      <c r="P252" s="37"/>
      <c r="Q252" s="37"/>
      <c r="R252" s="37">
        <f t="shared" si="41"/>
        <v>-15</v>
      </c>
    </row>
    <row r="253">
      <c r="A253" s="38" t="s">
        <v>327</v>
      </c>
      <c r="B253" s="30" t="s">
        <v>29</v>
      </c>
      <c r="C253" s="48" t="s">
        <v>326</v>
      </c>
      <c r="D253" s="48" t="s">
        <v>324</v>
      </c>
      <c r="E253" s="32">
        <v>15.0</v>
      </c>
      <c r="F253" s="38" t="s">
        <v>44</v>
      </c>
      <c r="G253" s="32" t="s">
        <v>27</v>
      </c>
      <c r="H253" s="33">
        <v>15.0</v>
      </c>
      <c r="I253" s="34">
        <v>1.710004644E9</v>
      </c>
      <c r="J253" s="35">
        <v>46059.0</v>
      </c>
      <c r="K253" s="35">
        <v>46301.0</v>
      </c>
      <c r="L253" s="36"/>
      <c r="M253" s="36" t="str">
        <f t="shared" si="39"/>
        <v>BELUM PO</v>
      </c>
      <c r="N253" s="37"/>
      <c r="O253" s="38" t="str">
        <f t="shared" si="40"/>
        <v>BELUM DATANG</v>
      </c>
      <c r="P253" s="37"/>
      <c r="Q253" s="37"/>
      <c r="R253" s="37">
        <f t="shared" si="41"/>
        <v>-15</v>
      </c>
    </row>
    <row r="254">
      <c r="A254" s="71" t="s">
        <v>328</v>
      </c>
      <c r="B254" s="30" t="s">
        <v>29</v>
      </c>
      <c r="C254" s="72" t="s">
        <v>329</v>
      </c>
      <c r="D254" s="72" t="s">
        <v>330</v>
      </c>
      <c r="E254" s="73">
        <v>32.0</v>
      </c>
      <c r="F254" s="73" t="s">
        <v>10</v>
      </c>
      <c r="G254" s="37"/>
      <c r="H254" s="49"/>
      <c r="I254" s="49"/>
      <c r="J254" s="101"/>
      <c r="K254" s="50"/>
      <c r="L254" s="51"/>
      <c r="M254" s="51" t="str">
        <f t="shared" si="39"/>
        <v>BELUM PO</v>
      </c>
      <c r="N254" s="49"/>
      <c r="O254" s="50" t="str">
        <f t="shared" si="40"/>
        <v>BELUM DATANG</v>
      </c>
      <c r="P254" s="49"/>
      <c r="Q254" s="49"/>
      <c r="R254" s="49">
        <f t="shared" si="41"/>
        <v>0</v>
      </c>
    </row>
    <row r="255">
      <c r="A255" s="38" t="s">
        <v>331</v>
      </c>
      <c r="B255" s="30" t="s">
        <v>29</v>
      </c>
      <c r="C255" s="48" t="s">
        <v>53</v>
      </c>
      <c r="D255" s="48" t="s">
        <v>332</v>
      </c>
      <c r="E255" s="37">
        <v>24.0</v>
      </c>
      <c r="F255" s="37" t="s">
        <v>10</v>
      </c>
      <c r="G255" s="37"/>
      <c r="H255" s="53">
        <v>24.0</v>
      </c>
      <c r="I255" s="53">
        <v>1.710004599E9</v>
      </c>
      <c r="J255" s="58" t="s">
        <v>64</v>
      </c>
      <c r="K255" s="58" t="s">
        <v>56</v>
      </c>
      <c r="L255" s="36"/>
      <c r="M255" s="36" t="str">
        <f t="shared" si="39"/>
        <v>BELUM PO</v>
      </c>
      <c r="N255" s="37"/>
      <c r="O255" s="38" t="str">
        <f t="shared" si="40"/>
        <v>BELUM DATANG</v>
      </c>
      <c r="P255" s="37"/>
      <c r="Q255" s="37"/>
      <c r="R255" s="37">
        <f t="shared" si="41"/>
        <v>-24</v>
      </c>
    </row>
    <row r="256">
      <c r="A256" s="38" t="s">
        <v>333</v>
      </c>
      <c r="B256" s="30" t="s">
        <v>24</v>
      </c>
      <c r="C256" s="48" t="s">
        <v>53</v>
      </c>
      <c r="D256" s="48" t="s">
        <v>334</v>
      </c>
      <c r="E256" s="38">
        <v>24.0</v>
      </c>
      <c r="F256" s="37" t="s">
        <v>10</v>
      </c>
      <c r="G256" s="37"/>
      <c r="H256" s="37">
        <v>24.0</v>
      </c>
      <c r="I256" s="34">
        <v>1.710004599E9</v>
      </c>
      <c r="J256" s="33" t="s">
        <v>132</v>
      </c>
      <c r="K256" s="56">
        <v>46301.0</v>
      </c>
      <c r="L256" s="36"/>
      <c r="M256" s="36" t="str">
        <f t="shared" si="39"/>
        <v>BELUM PO</v>
      </c>
      <c r="N256" s="37"/>
      <c r="O256" s="38" t="str">
        <f t="shared" si="40"/>
        <v>BELUM DATANG</v>
      </c>
      <c r="P256" s="37"/>
      <c r="Q256" s="37"/>
      <c r="R256" s="37">
        <f t="shared" si="41"/>
        <v>-24</v>
      </c>
    </row>
    <row r="257">
      <c r="A257" s="29" t="s">
        <v>335</v>
      </c>
      <c r="B257" s="30" t="s">
        <v>29</v>
      </c>
      <c r="C257" s="48" t="s">
        <v>53</v>
      </c>
      <c r="D257" s="48" t="s">
        <v>336</v>
      </c>
      <c r="E257" s="38">
        <v>17.0</v>
      </c>
      <c r="F257" s="37" t="s">
        <v>10</v>
      </c>
      <c r="G257" s="37"/>
      <c r="H257" s="37">
        <v>17.0</v>
      </c>
      <c r="I257" s="33">
        <v>1.710004658E9</v>
      </c>
      <c r="J257" s="56">
        <v>46148.0</v>
      </c>
      <c r="K257" s="56">
        <v>46301.0</v>
      </c>
      <c r="L257" s="33">
        <v>7.100003986E9</v>
      </c>
      <c r="M257" s="36" t="str">
        <f t="shared" si="39"/>
        <v>SUDAH PO</v>
      </c>
      <c r="N257" s="56">
        <v>46301.0</v>
      </c>
      <c r="O257" s="38" t="str">
        <f t="shared" si="40"/>
        <v>BELUM DATANG</v>
      </c>
      <c r="P257" s="37"/>
      <c r="Q257" s="37"/>
      <c r="R257" s="37">
        <f t="shared" si="41"/>
        <v>-17</v>
      </c>
    </row>
    <row r="258">
      <c r="A258" s="37" t="s">
        <v>337</v>
      </c>
      <c r="B258" s="30" t="s">
        <v>29</v>
      </c>
      <c r="C258" s="48" t="s">
        <v>53</v>
      </c>
      <c r="D258" s="48" t="s">
        <v>338</v>
      </c>
      <c r="E258" s="70">
        <v>43.0</v>
      </c>
      <c r="F258" s="38" t="s">
        <v>10</v>
      </c>
      <c r="G258" s="37"/>
      <c r="H258" s="53">
        <v>43.0</v>
      </c>
      <c r="I258" s="53">
        <v>1.710004599E9</v>
      </c>
      <c r="J258" s="53" t="s">
        <v>64</v>
      </c>
      <c r="K258" s="35">
        <v>46301.0</v>
      </c>
      <c r="L258" s="33"/>
      <c r="M258" s="36" t="str">
        <f t="shared" si="39"/>
        <v>BELUM PO</v>
      </c>
      <c r="N258" s="56"/>
      <c r="O258" s="38" t="str">
        <f t="shared" si="40"/>
        <v>BELUM DATANG</v>
      </c>
      <c r="P258" s="37"/>
      <c r="Q258" s="37"/>
      <c r="R258" s="37">
        <f t="shared" si="41"/>
        <v>-43</v>
      </c>
    </row>
    <row r="259">
      <c r="A259" s="29" t="s">
        <v>339</v>
      </c>
      <c r="B259" s="30" t="s">
        <v>29</v>
      </c>
      <c r="C259" s="48" t="s">
        <v>53</v>
      </c>
      <c r="D259" s="106" t="s">
        <v>340</v>
      </c>
      <c r="E259" s="109">
        <v>28.0</v>
      </c>
      <c r="F259" s="37" t="s">
        <v>10</v>
      </c>
      <c r="G259" s="37"/>
      <c r="H259" s="37">
        <v>28.0</v>
      </c>
      <c r="I259" s="34">
        <v>1.710004644E9</v>
      </c>
      <c r="J259" s="35">
        <v>46059.0</v>
      </c>
      <c r="K259" s="35">
        <v>46301.0</v>
      </c>
      <c r="L259" s="33">
        <v>1.710004644E9</v>
      </c>
      <c r="M259" s="36" t="str">
        <f t="shared" si="39"/>
        <v>SUDAH PO</v>
      </c>
      <c r="N259" s="35">
        <v>46301.0</v>
      </c>
      <c r="O259" s="38" t="str">
        <f t="shared" si="40"/>
        <v>BELUM DATANG</v>
      </c>
      <c r="P259" s="37"/>
      <c r="Q259" s="37"/>
      <c r="R259" s="37">
        <f t="shared" si="41"/>
        <v>-28</v>
      </c>
    </row>
    <row r="260">
      <c r="A260" s="29" t="s">
        <v>341</v>
      </c>
      <c r="B260" s="30" t="s">
        <v>29</v>
      </c>
      <c r="C260" s="48" t="s">
        <v>53</v>
      </c>
      <c r="D260" s="106" t="s">
        <v>342</v>
      </c>
      <c r="E260" s="32">
        <v>24.0</v>
      </c>
      <c r="F260" s="37" t="s">
        <v>10</v>
      </c>
      <c r="G260" s="37"/>
      <c r="H260" s="33">
        <v>24.0</v>
      </c>
      <c r="I260" s="34">
        <v>1.710004644E9</v>
      </c>
      <c r="J260" s="35">
        <v>46059.0</v>
      </c>
      <c r="K260" s="35">
        <v>46301.0</v>
      </c>
      <c r="L260" s="33">
        <v>1.710004644E9</v>
      </c>
      <c r="M260" s="36" t="str">
        <f t="shared" si="39"/>
        <v>SUDAH PO</v>
      </c>
      <c r="N260" s="35">
        <v>46301.0</v>
      </c>
      <c r="O260" s="38" t="str">
        <f t="shared" si="40"/>
        <v>BELUM DATANG</v>
      </c>
      <c r="P260" s="37"/>
      <c r="Q260" s="37"/>
      <c r="R260" s="37">
        <f t="shared" si="41"/>
        <v>-24</v>
      </c>
    </row>
    <row r="261">
      <c r="A261" s="38" t="s">
        <v>343</v>
      </c>
      <c r="B261" s="30" t="s">
        <v>29</v>
      </c>
      <c r="C261" s="48" t="s">
        <v>282</v>
      </c>
      <c r="D261" s="48" t="s">
        <v>63</v>
      </c>
      <c r="E261" s="60">
        <v>43.0</v>
      </c>
      <c r="F261" s="37" t="s">
        <v>10</v>
      </c>
      <c r="G261" s="32" t="s">
        <v>71</v>
      </c>
      <c r="H261" s="37">
        <v>43.0</v>
      </c>
      <c r="I261" s="53">
        <v>1.710004543E9</v>
      </c>
      <c r="J261" s="55" t="s">
        <v>45</v>
      </c>
      <c r="K261" s="61">
        <v>46331.0</v>
      </c>
      <c r="L261" s="36">
        <v>7.1000039E9</v>
      </c>
      <c r="M261" s="36" t="str">
        <f t="shared" si="39"/>
        <v>SUDAH PO</v>
      </c>
      <c r="N261" s="33" t="s">
        <v>55</v>
      </c>
      <c r="O261" s="38" t="str">
        <f t="shared" si="40"/>
        <v>CLOSE</v>
      </c>
      <c r="P261" s="33" t="s">
        <v>64</v>
      </c>
      <c r="Q261" s="37">
        <v>43.0</v>
      </c>
      <c r="R261" s="37">
        <f t="shared" si="41"/>
        <v>0</v>
      </c>
    </row>
    <row r="262">
      <c r="A262" s="38" t="s">
        <v>344</v>
      </c>
      <c r="B262" s="30" t="s">
        <v>29</v>
      </c>
      <c r="C262" s="48" t="s">
        <v>284</v>
      </c>
      <c r="D262" s="48" t="s">
        <v>67</v>
      </c>
      <c r="E262" s="38">
        <v>25.0</v>
      </c>
      <c r="F262" s="38" t="s">
        <v>10</v>
      </c>
      <c r="G262" s="32" t="s">
        <v>71</v>
      </c>
      <c r="H262" s="37">
        <v>25.0</v>
      </c>
      <c r="I262" s="53">
        <v>1.710004543E9</v>
      </c>
      <c r="J262" s="54" t="s">
        <v>45</v>
      </c>
      <c r="K262" s="61">
        <v>46331.0</v>
      </c>
      <c r="L262" s="36">
        <v>7.1000039E9</v>
      </c>
      <c r="M262" s="36" t="str">
        <f t="shared" si="39"/>
        <v>SUDAH PO</v>
      </c>
      <c r="N262" s="37" t="s">
        <v>46</v>
      </c>
      <c r="O262" s="38" t="str">
        <f t="shared" si="40"/>
        <v>CLOSE</v>
      </c>
      <c r="P262" s="33" t="s">
        <v>64</v>
      </c>
      <c r="Q262" s="33">
        <v>25.0</v>
      </c>
      <c r="R262" s="37">
        <f t="shared" si="41"/>
        <v>0</v>
      </c>
    </row>
    <row r="263">
      <c r="A263" s="75" t="s">
        <v>285</v>
      </c>
      <c r="B263" s="30" t="s">
        <v>29</v>
      </c>
      <c r="C263" s="48" t="s">
        <v>345</v>
      </c>
      <c r="D263" s="48" t="s">
        <v>346</v>
      </c>
      <c r="E263" s="38">
        <v>2.0</v>
      </c>
      <c r="F263" s="38" t="s">
        <v>10</v>
      </c>
      <c r="G263" s="37"/>
      <c r="H263" s="37">
        <v>2.0</v>
      </c>
      <c r="I263" s="53">
        <v>1.710004599E9</v>
      </c>
      <c r="J263" s="58" t="s">
        <v>64</v>
      </c>
      <c r="K263" s="35">
        <v>46301.0</v>
      </c>
      <c r="L263" s="33">
        <v>7.100003943E9</v>
      </c>
      <c r="M263" s="36" t="str">
        <f t="shared" si="39"/>
        <v>SUDAH PO</v>
      </c>
      <c r="N263" s="56">
        <v>46362.0</v>
      </c>
      <c r="O263" s="38" t="str">
        <f t="shared" si="40"/>
        <v>BELUM DATANG</v>
      </c>
      <c r="P263" s="37"/>
      <c r="Q263" s="37"/>
      <c r="R263" s="37">
        <f t="shared" si="41"/>
        <v>-2</v>
      </c>
    </row>
    <row r="264">
      <c r="A264" s="38" t="s">
        <v>347</v>
      </c>
      <c r="B264" s="30" t="s">
        <v>29</v>
      </c>
      <c r="C264" s="48" t="s">
        <v>348</v>
      </c>
      <c r="D264" s="48" t="s">
        <v>70</v>
      </c>
      <c r="E264" s="38">
        <v>2.0</v>
      </c>
      <c r="F264" s="38" t="s">
        <v>10</v>
      </c>
      <c r="G264" s="32" t="s">
        <v>71</v>
      </c>
      <c r="H264" s="37">
        <v>2.0</v>
      </c>
      <c r="I264" s="37">
        <v>1.710004543E9</v>
      </c>
      <c r="J264" s="58" t="s">
        <v>45</v>
      </c>
      <c r="K264" s="61">
        <v>46331.0</v>
      </c>
      <c r="L264" s="36">
        <v>7.1000039E9</v>
      </c>
      <c r="M264" s="36" t="str">
        <f t="shared" si="39"/>
        <v>SUDAH PO</v>
      </c>
      <c r="N264" s="37" t="s">
        <v>55</v>
      </c>
      <c r="O264" s="38" t="str">
        <f t="shared" si="40"/>
        <v>CLOSE</v>
      </c>
      <c r="P264" s="33" t="s">
        <v>64</v>
      </c>
      <c r="Q264" s="33">
        <v>2.0</v>
      </c>
      <c r="R264" s="37">
        <f t="shared" si="41"/>
        <v>0</v>
      </c>
    </row>
    <row r="265">
      <c r="A265" s="38" t="s">
        <v>349</v>
      </c>
      <c r="B265" s="30" t="s">
        <v>29</v>
      </c>
      <c r="C265" s="48" t="s">
        <v>350</v>
      </c>
      <c r="D265" s="48" t="s">
        <v>74</v>
      </c>
      <c r="E265" s="33">
        <v>81.0</v>
      </c>
      <c r="F265" s="38" t="s">
        <v>10</v>
      </c>
      <c r="G265" s="32" t="s">
        <v>27</v>
      </c>
      <c r="H265" s="33">
        <v>81.0</v>
      </c>
      <c r="I265" s="34">
        <v>1.710004543E9</v>
      </c>
      <c r="J265" s="34" t="s">
        <v>45</v>
      </c>
      <c r="K265" s="35">
        <v>46331.0</v>
      </c>
      <c r="L265" s="34">
        <v>7.1000039E9</v>
      </c>
      <c r="M265" s="36" t="str">
        <f t="shared" si="39"/>
        <v>SUDAH PO</v>
      </c>
      <c r="N265" s="33" t="s">
        <v>46</v>
      </c>
      <c r="O265" s="38" t="str">
        <f t="shared" si="40"/>
        <v>CLOSE</v>
      </c>
      <c r="P265" s="37" t="s">
        <v>64</v>
      </c>
      <c r="Q265" s="33">
        <v>81.0</v>
      </c>
      <c r="R265" s="37">
        <f t="shared" si="41"/>
        <v>0</v>
      </c>
    </row>
    <row r="266">
      <c r="A266" s="71" t="s">
        <v>328</v>
      </c>
      <c r="B266" s="30" t="s">
        <v>29</v>
      </c>
      <c r="C266" s="72" t="s">
        <v>329</v>
      </c>
      <c r="D266" s="72" t="s">
        <v>330</v>
      </c>
      <c r="E266" s="98">
        <v>32.0</v>
      </c>
      <c r="F266" s="71" t="s">
        <v>10</v>
      </c>
      <c r="G266" s="37"/>
      <c r="H266" s="49"/>
      <c r="I266" s="101"/>
      <c r="J266" s="50"/>
      <c r="K266" s="50"/>
      <c r="L266" s="51"/>
      <c r="M266" s="51" t="str">
        <f t="shared" si="39"/>
        <v>BELUM PO</v>
      </c>
      <c r="N266" s="49"/>
      <c r="O266" s="50" t="str">
        <f t="shared" si="40"/>
        <v>BELUM DATANG</v>
      </c>
      <c r="P266" s="49"/>
      <c r="Q266" s="49"/>
      <c r="R266" s="49">
        <f t="shared" si="41"/>
        <v>0</v>
      </c>
    </row>
    <row r="267">
      <c r="A267" s="38" t="s">
        <v>351</v>
      </c>
      <c r="B267" s="30" t="s">
        <v>29</v>
      </c>
      <c r="C267" s="48" t="s">
        <v>80</v>
      </c>
      <c r="D267" s="48" t="s">
        <v>352</v>
      </c>
      <c r="E267" s="38">
        <v>24.0</v>
      </c>
      <c r="F267" s="38" t="s">
        <v>10</v>
      </c>
      <c r="G267" s="37"/>
      <c r="H267" s="54">
        <v>24.0</v>
      </c>
      <c r="I267" s="54">
        <v>1.710004599E9</v>
      </c>
      <c r="J267" s="58" t="s">
        <v>64</v>
      </c>
      <c r="K267" s="58" t="s">
        <v>56</v>
      </c>
      <c r="L267" s="36"/>
      <c r="M267" s="36" t="str">
        <f t="shared" si="39"/>
        <v>BELUM PO</v>
      </c>
      <c r="N267" s="37"/>
      <c r="O267" s="38" t="str">
        <f t="shared" si="40"/>
        <v>BELUM DATANG</v>
      </c>
      <c r="P267" s="37"/>
      <c r="Q267" s="37"/>
      <c r="R267" s="70">
        <f t="shared" si="41"/>
        <v>-24</v>
      </c>
    </row>
    <row r="268">
      <c r="A268" s="38" t="s">
        <v>353</v>
      </c>
      <c r="B268" s="30" t="s">
        <v>29</v>
      </c>
      <c r="C268" s="48" t="s">
        <v>80</v>
      </c>
      <c r="D268" s="48" t="s">
        <v>354</v>
      </c>
      <c r="E268" s="38">
        <v>24.0</v>
      </c>
      <c r="F268" s="38" t="s">
        <v>10</v>
      </c>
      <c r="G268" s="37"/>
      <c r="H268" s="70">
        <v>24.0</v>
      </c>
      <c r="I268" s="54">
        <v>1.710004599E9</v>
      </c>
      <c r="J268" s="33" t="s">
        <v>132</v>
      </c>
      <c r="K268" s="56">
        <v>46301.0</v>
      </c>
      <c r="L268" s="36"/>
      <c r="M268" s="36" t="str">
        <f t="shared" si="39"/>
        <v>BELUM PO</v>
      </c>
      <c r="N268" s="37"/>
      <c r="O268" s="38" t="str">
        <f t="shared" si="40"/>
        <v>BELUM DATANG</v>
      </c>
      <c r="P268" s="37"/>
      <c r="Q268" s="37"/>
      <c r="R268" s="70">
        <f t="shared" si="41"/>
        <v>-24</v>
      </c>
    </row>
    <row r="269">
      <c r="A269" s="29" t="s">
        <v>355</v>
      </c>
      <c r="B269" s="30" t="s">
        <v>29</v>
      </c>
      <c r="C269" s="48" t="s">
        <v>80</v>
      </c>
      <c r="D269" s="48" t="s">
        <v>356</v>
      </c>
      <c r="E269" s="38">
        <v>16.0</v>
      </c>
      <c r="F269" s="38" t="s">
        <v>10</v>
      </c>
      <c r="G269" s="32" t="s">
        <v>71</v>
      </c>
      <c r="H269" s="69">
        <v>16.0</v>
      </c>
      <c r="I269" s="33">
        <v>1.710004658E9</v>
      </c>
      <c r="J269" s="56">
        <v>46240.0</v>
      </c>
      <c r="K269" s="56">
        <v>46301.0</v>
      </c>
      <c r="L269" s="36"/>
      <c r="M269" s="36" t="str">
        <f t="shared" si="39"/>
        <v>BELUM PO</v>
      </c>
      <c r="N269" s="37"/>
      <c r="O269" s="38" t="str">
        <f t="shared" si="40"/>
        <v>BELUM DATANG</v>
      </c>
      <c r="P269" s="37"/>
      <c r="Q269" s="37"/>
      <c r="R269" s="70">
        <f t="shared" si="41"/>
        <v>-16</v>
      </c>
    </row>
    <row r="270">
      <c r="A270" s="33" t="s">
        <v>357</v>
      </c>
      <c r="B270" s="30" t="s">
        <v>29</v>
      </c>
      <c r="C270" s="48" t="s">
        <v>80</v>
      </c>
      <c r="D270" s="48" t="s">
        <v>358</v>
      </c>
      <c r="E270" s="38">
        <v>46.0</v>
      </c>
      <c r="F270" s="38" t="s">
        <v>10</v>
      </c>
      <c r="G270" s="37"/>
      <c r="H270" s="70"/>
      <c r="I270" s="70"/>
      <c r="J270" s="38"/>
      <c r="K270" s="38"/>
      <c r="L270" s="36"/>
      <c r="M270" s="36" t="str">
        <f t="shared" si="39"/>
        <v>BELUM PO</v>
      </c>
      <c r="N270" s="37"/>
      <c r="O270" s="38" t="str">
        <f t="shared" si="40"/>
        <v>BELUM DATANG</v>
      </c>
      <c r="P270" s="37"/>
      <c r="Q270" s="37"/>
      <c r="R270" s="70">
        <f t="shared" si="41"/>
        <v>0</v>
      </c>
    </row>
    <row r="271">
      <c r="A271" s="33" t="s">
        <v>359</v>
      </c>
      <c r="B271" s="30" t="s">
        <v>29</v>
      </c>
      <c r="C271" s="48" t="s">
        <v>80</v>
      </c>
      <c r="D271" s="48" t="s">
        <v>360</v>
      </c>
      <c r="E271" s="38">
        <v>24.0</v>
      </c>
      <c r="F271" s="38" t="s">
        <v>10</v>
      </c>
      <c r="G271" s="37"/>
      <c r="H271" s="69">
        <v>24.0</v>
      </c>
      <c r="I271" s="69">
        <v>1.710004644E9</v>
      </c>
      <c r="J271" s="56">
        <v>46059.0</v>
      </c>
      <c r="K271" s="56">
        <v>46301.0</v>
      </c>
      <c r="L271" s="33">
        <v>7.100003986E9</v>
      </c>
      <c r="M271" s="36" t="str">
        <f t="shared" si="39"/>
        <v>SUDAH PO</v>
      </c>
      <c r="N271" s="56">
        <v>46301.0</v>
      </c>
      <c r="O271" s="38" t="str">
        <f t="shared" si="40"/>
        <v>BELUM DATANG</v>
      </c>
      <c r="P271" s="37"/>
      <c r="Q271" s="37"/>
      <c r="R271" s="70">
        <f t="shared" si="41"/>
        <v>-24</v>
      </c>
    </row>
    <row r="272">
      <c r="A272" s="111" t="s">
        <v>361</v>
      </c>
      <c r="B272" s="112" t="s">
        <v>29</v>
      </c>
      <c r="C272" s="113" t="s">
        <v>80</v>
      </c>
      <c r="D272" s="113" t="s">
        <v>300</v>
      </c>
      <c r="E272" s="111">
        <v>2.0</v>
      </c>
      <c r="F272" s="111" t="s">
        <v>10</v>
      </c>
      <c r="G272" s="32" t="s">
        <v>27</v>
      </c>
      <c r="H272" s="114">
        <v>2.0</v>
      </c>
      <c r="I272" s="115">
        <v>1.710004599E9</v>
      </c>
      <c r="J272" s="116" t="s">
        <v>64</v>
      </c>
      <c r="K272" s="116" t="s">
        <v>56</v>
      </c>
      <c r="L272" s="117"/>
      <c r="M272" s="117"/>
      <c r="N272" s="118"/>
      <c r="O272" s="119"/>
      <c r="P272" s="118"/>
      <c r="Q272" s="118"/>
      <c r="R272" s="114">
        <f t="shared" si="41"/>
        <v>-2</v>
      </c>
    </row>
    <row r="273">
      <c r="A273" s="111" t="s">
        <v>362</v>
      </c>
      <c r="B273" s="112" t="s">
        <v>29</v>
      </c>
      <c r="C273" s="113" t="s">
        <v>80</v>
      </c>
      <c r="D273" s="113" t="s">
        <v>302</v>
      </c>
      <c r="E273" s="111">
        <v>2.0</v>
      </c>
      <c r="F273" s="111" t="s">
        <v>10</v>
      </c>
      <c r="G273" s="120"/>
      <c r="H273" s="115">
        <v>2.0</v>
      </c>
      <c r="I273" s="115">
        <v>1.710004599E9</v>
      </c>
      <c r="J273" s="116" t="s">
        <v>64</v>
      </c>
      <c r="K273" s="116" t="s">
        <v>56</v>
      </c>
      <c r="L273" s="117"/>
      <c r="M273" s="117"/>
      <c r="N273" s="118"/>
      <c r="O273" s="119"/>
      <c r="P273" s="118"/>
      <c r="Q273" s="118"/>
      <c r="R273" s="114">
        <f t="shared" si="41"/>
        <v>-2</v>
      </c>
    </row>
    <row r="274">
      <c r="A274" s="38" t="s">
        <v>363</v>
      </c>
      <c r="B274" s="30" t="s">
        <v>29</v>
      </c>
      <c r="C274" s="48" t="s">
        <v>80</v>
      </c>
      <c r="D274" s="48" t="s">
        <v>364</v>
      </c>
      <c r="E274" s="38">
        <v>4.0</v>
      </c>
      <c r="F274" s="38" t="s">
        <v>10</v>
      </c>
      <c r="G274" s="37"/>
      <c r="H274" s="54">
        <v>4.0</v>
      </c>
      <c r="I274" s="54">
        <v>1.710004599E9</v>
      </c>
      <c r="J274" s="58" t="s">
        <v>64</v>
      </c>
      <c r="K274" s="58" t="s">
        <v>56</v>
      </c>
      <c r="L274" s="36"/>
      <c r="M274" s="36" t="str">
        <f t="shared" ref="M274:M307" si="42">IF(LEN(L274)=10,"SUDAH PO",IF(L274="STOK","READY STOK",IF(L274="PL","READY STOK","BELUM PO")))</f>
        <v>BELUM PO</v>
      </c>
      <c r="N274" s="37"/>
      <c r="O274" s="38" t="str">
        <f t="shared" ref="O274:O307" si="43">IF(H274="STOK","STOK",IF(ISBLANK(P274),"BELUM DATANG",IF(R274=0,"CLOSE","DATANG SEBAGIAN")))</f>
        <v>BELUM DATANG</v>
      </c>
      <c r="P274" s="37"/>
      <c r="Q274" s="37"/>
      <c r="R274" s="70">
        <f t="shared" si="41"/>
        <v>-4</v>
      </c>
    </row>
    <row r="275">
      <c r="A275" s="38" t="s">
        <v>365</v>
      </c>
      <c r="B275" s="30" t="s">
        <v>29</v>
      </c>
      <c r="C275" s="48" t="s">
        <v>94</v>
      </c>
      <c r="D275" s="48" t="s">
        <v>63</v>
      </c>
      <c r="E275" s="121">
        <v>45.0</v>
      </c>
      <c r="F275" s="38" t="s">
        <v>10</v>
      </c>
      <c r="G275" s="40" t="s">
        <v>86</v>
      </c>
      <c r="H275" s="69">
        <v>45.0</v>
      </c>
      <c r="I275" s="53">
        <v>1.710004543E9</v>
      </c>
      <c r="J275" s="54" t="s">
        <v>45</v>
      </c>
      <c r="K275" s="61">
        <v>46331.0</v>
      </c>
      <c r="L275" s="36">
        <v>7.1000039E9</v>
      </c>
      <c r="M275" s="36" t="str">
        <f t="shared" si="42"/>
        <v>SUDAH PO</v>
      </c>
      <c r="N275" s="33" t="s">
        <v>55</v>
      </c>
      <c r="O275" s="38" t="str">
        <f t="shared" si="43"/>
        <v>CLOSE</v>
      </c>
      <c r="P275" s="33" t="s">
        <v>64</v>
      </c>
      <c r="Q275" s="33">
        <v>45.0</v>
      </c>
      <c r="R275" s="70">
        <f t="shared" si="41"/>
        <v>0</v>
      </c>
    </row>
    <row r="276">
      <c r="A276" s="38" t="s">
        <v>366</v>
      </c>
      <c r="B276" s="30" t="s">
        <v>29</v>
      </c>
      <c r="C276" s="48" t="s">
        <v>307</v>
      </c>
      <c r="D276" s="48" t="s">
        <v>67</v>
      </c>
      <c r="E276" s="38">
        <v>26.0</v>
      </c>
      <c r="F276" s="38" t="s">
        <v>10</v>
      </c>
      <c r="G276" s="32" t="s">
        <v>71</v>
      </c>
      <c r="H276" s="70">
        <v>26.0</v>
      </c>
      <c r="I276" s="54">
        <v>1.710004543E9</v>
      </c>
      <c r="J276" s="54" t="s">
        <v>45</v>
      </c>
      <c r="K276" s="61">
        <v>46331.0</v>
      </c>
      <c r="L276" s="36">
        <v>7.1000039E9</v>
      </c>
      <c r="M276" s="36" t="str">
        <f t="shared" si="42"/>
        <v>SUDAH PO</v>
      </c>
      <c r="N276" s="37" t="s">
        <v>46</v>
      </c>
      <c r="O276" s="38" t="str">
        <f t="shared" si="43"/>
        <v>CLOSE</v>
      </c>
      <c r="P276" s="33" t="s">
        <v>64</v>
      </c>
      <c r="Q276" s="33">
        <v>26.0</v>
      </c>
      <c r="R276" s="70">
        <f t="shared" si="41"/>
        <v>0</v>
      </c>
    </row>
    <row r="277">
      <c r="A277" s="38" t="s">
        <v>367</v>
      </c>
      <c r="B277" s="30" t="s">
        <v>29</v>
      </c>
      <c r="C277" s="48" t="s">
        <v>368</v>
      </c>
      <c r="D277" s="48" t="s">
        <v>70</v>
      </c>
      <c r="E277" s="38">
        <v>2.0</v>
      </c>
      <c r="F277" s="38" t="s">
        <v>10</v>
      </c>
      <c r="G277" s="32" t="s">
        <v>71</v>
      </c>
      <c r="H277" s="38">
        <v>2.0</v>
      </c>
      <c r="I277" s="38">
        <v>1.710004543E9</v>
      </c>
      <c r="J277" s="58" t="s">
        <v>45</v>
      </c>
      <c r="K277" s="61">
        <v>46331.0</v>
      </c>
      <c r="L277" s="38">
        <v>7.1000039E9</v>
      </c>
      <c r="M277" s="38" t="str">
        <f t="shared" si="42"/>
        <v>SUDAH PO</v>
      </c>
      <c r="N277" s="38" t="s">
        <v>55</v>
      </c>
      <c r="O277" s="38" t="str">
        <f t="shared" si="43"/>
        <v>CLOSE</v>
      </c>
      <c r="P277" s="33" t="s">
        <v>64</v>
      </c>
      <c r="Q277" s="33">
        <v>2.0</v>
      </c>
      <c r="R277" s="38">
        <f t="shared" si="41"/>
        <v>0</v>
      </c>
    </row>
    <row r="278">
      <c r="A278" s="37" t="s">
        <v>369</v>
      </c>
      <c r="B278" s="30" t="s">
        <v>29</v>
      </c>
      <c r="C278" s="48" t="s">
        <v>100</v>
      </c>
      <c r="D278" s="48" t="s">
        <v>74</v>
      </c>
      <c r="E278" s="38">
        <v>87.0</v>
      </c>
      <c r="F278" s="38" t="s">
        <v>10</v>
      </c>
      <c r="G278" s="32" t="s">
        <v>71</v>
      </c>
      <c r="H278" s="37">
        <v>87.0</v>
      </c>
      <c r="I278" s="34">
        <v>1.710004543E9</v>
      </c>
      <c r="J278" s="34" t="s">
        <v>45</v>
      </c>
      <c r="K278" s="35">
        <v>46331.0</v>
      </c>
      <c r="L278" s="34">
        <v>7.1000039E9</v>
      </c>
      <c r="M278" s="36" t="str">
        <f t="shared" si="42"/>
        <v>SUDAH PO</v>
      </c>
      <c r="N278" s="33" t="s">
        <v>46</v>
      </c>
      <c r="O278" s="38" t="str">
        <f t="shared" si="43"/>
        <v>CLOSE</v>
      </c>
      <c r="P278" s="37" t="s">
        <v>64</v>
      </c>
      <c r="Q278" s="37">
        <v>87.0</v>
      </c>
      <c r="R278" s="37">
        <f t="shared" si="41"/>
        <v>0</v>
      </c>
    </row>
    <row r="279">
      <c r="A279" s="74"/>
      <c r="B279" s="30" t="s">
        <v>29</v>
      </c>
      <c r="C279" s="47" t="s">
        <v>104</v>
      </c>
      <c r="D279" s="47" t="s">
        <v>105</v>
      </c>
      <c r="E279" s="38">
        <v>286.0</v>
      </c>
      <c r="F279" s="38" t="s">
        <v>106</v>
      </c>
      <c r="G279" s="37"/>
      <c r="H279" s="37"/>
      <c r="I279" s="37"/>
      <c r="J279" s="38"/>
      <c r="K279" s="38"/>
      <c r="L279" s="36"/>
      <c r="M279" s="36" t="str">
        <f t="shared" si="42"/>
        <v>BELUM PO</v>
      </c>
      <c r="N279" s="37"/>
      <c r="O279" s="38" t="str">
        <f t="shared" si="43"/>
        <v>BELUM DATANG</v>
      </c>
      <c r="P279" s="37"/>
      <c r="Q279" s="37"/>
      <c r="R279" s="37">
        <f t="shared" si="41"/>
        <v>0</v>
      </c>
    </row>
    <row r="280">
      <c r="A280" s="38" t="s">
        <v>370</v>
      </c>
      <c r="B280" s="30" t="s">
        <v>29</v>
      </c>
      <c r="C280" s="48" t="s">
        <v>108</v>
      </c>
      <c r="D280" s="48" t="s">
        <v>109</v>
      </c>
      <c r="E280" s="109">
        <v>1245.0</v>
      </c>
      <c r="F280" s="38" t="s">
        <v>110</v>
      </c>
      <c r="G280" s="32" t="s">
        <v>71</v>
      </c>
      <c r="H280" s="53">
        <v>1245.0</v>
      </c>
      <c r="I280" s="34">
        <v>1.710004543E9</v>
      </c>
      <c r="J280" s="35">
        <v>46208.0</v>
      </c>
      <c r="K280" s="35">
        <v>46301.0</v>
      </c>
      <c r="L280" s="33">
        <v>7.100003947E9</v>
      </c>
      <c r="M280" s="36" t="str">
        <f t="shared" si="42"/>
        <v>SUDAH PO</v>
      </c>
      <c r="N280" s="33" t="s">
        <v>78</v>
      </c>
      <c r="O280" s="38" t="str">
        <f t="shared" si="43"/>
        <v>BELUM DATANG</v>
      </c>
      <c r="P280" s="37"/>
      <c r="Q280" s="37"/>
      <c r="R280" s="37">
        <f t="shared" si="41"/>
        <v>-1245</v>
      </c>
    </row>
    <row r="281">
      <c r="A281" s="38" t="s">
        <v>111</v>
      </c>
      <c r="B281" s="30" t="s">
        <v>29</v>
      </c>
      <c r="C281" s="48" t="s">
        <v>112</v>
      </c>
      <c r="D281" s="48" t="s">
        <v>113</v>
      </c>
      <c r="E281" s="109">
        <v>1245.0</v>
      </c>
      <c r="F281" s="32" t="s">
        <v>110</v>
      </c>
      <c r="G281" s="32" t="s">
        <v>71</v>
      </c>
      <c r="H281" s="109">
        <v>1245.0</v>
      </c>
      <c r="I281" s="53">
        <v>1.710004599E9</v>
      </c>
      <c r="J281" s="58" t="s">
        <v>64</v>
      </c>
      <c r="K281" s="58" t="s">
        <v>56</v>
      </c>
      <c r="L281" s="36"/>
      <c r="M281" s="36" t="str">
        <f t="shared" si="42"/>
        <v>BELUM PO</v>
      </c>
      <c r="N281" s="37"/>
      <c r="O281" s="38" t="str">
        <f t="shared" si="43"/>
        <v>BELUM DATANG</v>
      </c>
      <c r="P281" s="37"/>
      <c r="Q281" s="37"/>
      <c r="R281" s="37">
        <f t="shared" si="41"/>
        <v>-1245</v>
      </c>
    </row>
    <row r="282">
      <c r="A282" s="38" t="s">
        <v>114</v>
      </c>
      <c r="B282" s="30" t="s">
        <v>29</v>
      </c>
      <c r="C282" s="48" t="s">
        <v>115</v>
      </c>
      <c r="D282" s="48" t="s">
        <v>116</v>
      </c>
      <c r="E282" s="32">
        <v>70.0</v>
      </c>
      <c r="F282" s="32" t="s">
        <v>117</v>
      </c>
      <c r="G282" s="32" t="s">
        <v>71</v>
      </c>
      <c r="H282" s="34">
        <v>70.0</v>
      </c>
      <c r="I282" s="37">
        <v>1.710004599E9</v>
      </c>
      <c r="J282" s="38" t="s">
        <v>64</v>
      </c>
      <c r="K282" s="56">
        <v>46301.0</v>
      </c>
      <c r="L282" s="33">
        <v>7.100003978E9</v>
      </c>
      <c r="M282" s="36" t="str">
        <f t="shared" si="42"/>
        <v>SUDAH PO</v>
      </c>
      <c r="N282" s="33" t="s">
        <v>78</v>
      </c>
      <c r="O282" s="38" t="str">
        <f t="shared" si="43"/>
        <v>BELUM DATANG</v>
      </c>
      <c r="P282" s="37"/>
      <c r="Q282" s="37"/>
      <c r="R282" s="37">
        <f t="shared" si="41"/>
        <v>-70</v>
      </c>
    </row>
    <row r="283">
      <c r="A283" s="37" t="s">
        <v>118</v>
      </c>
      <c r="B283" s="30" t="s">
        <v>29</v>
      </c>
      <c r="C283" s="48" t="s">
        <v>119</v>
      </c>
      <c r="D283" s="48" t="s">
        <v>120</v>
      </c>
      <c r="E283" s="32">
        <v>70.0</v>
      </c>
      <c r="F283" s="32" t="s">
        <v>117</v>
      </c>
      <c r="G283" s="32" t="s">
        <v>71</v>
      </c>
      <c r="H283" s="53">
        <v>71.0</v>
      </c>
      <c r="I283" s="53">
        <v>1.710004599E9</v>
      </c>
      <c r="J283" s="58" t="s">
        <v>64</v>
      </c>
      <c r="K283" s="35">
        <v>46301.0</v>
      </c>
      <c r="L283" s="33">
        <v>7.100003946E9</v>
      </c>
      <c r="M283" s="36" t="str">
        <f t="shared" si="42"/>
        <v>SUDAH PO</v>
      </c>
      <c r="N283" s="56">
        <v>46332.0</v>
      </c>
      <c r="O283" s="38" t="str">
        <f t="shared" si="43"/>
        <v>CLOSE</v>
      </c>
      <c r="P283" s="56">
        <v>46118.0</v>
      </c>
      <c r="Q283" s="33">
        <v>71.0</v>
      </c>
      <c r="R283" s="37">
        <f t="shared" si="41"/>
        <v>0</v>
      </c>
    </row>
    <row r="284">
      <c r="A284" s="75" t="s">
        <v>122</v>
      </c>
      <c r="B284" s="30" t="s">
        <v>29</v>
      </c>
      <c r="C284" s="76" t="s">
        <v>123</v>
      </c>
      <c r="D284" s="48" t="s">
        <v>124</v>
      </c>
      <c r="E284" s="32">
        <v>30.0</v>
      </c>
      <c r="F284" s="32" t="s">
        <v>10</v>
      </c>
      <c r="G284" s="32" t="s">
        <v>71</v>
      </c>
      <c r="H284" s="37">
        <v>30.0</v>
      </c>
      <c r="I284" s="53">
        <v>1.710004599E9</v>
      </c>
      <c r="J284" s="58" t="s">
        <v>64</v>
      </c>
      <c r="K284" s="35">
        <v>46301.0</v>
      </c>
      <c r="L284" s="33">
        <v>7.100003944E9</v>
      </c>
      <c r="M284" s="36" t="str">
        <f t="shared" si="42"/>
        <v>SUDAH PO</v>
      </c>
      <c r="N284" s="56">
        <v>46208.0</v>
      </c>
      <c r="O284" s="38" t="str">
        <f t="shared" si="43"/>
        <v>BELUM DATANG</v>
      </c>
      <c r="P284" s="37"/>
      <c r="Q284" s="37"/>
      <c r="R284" s="37">
        <f t="shared" si="41"/>
        <v>-30</v>
      </c>
    </row>
    <row r="285">
      <c r="A285" s="75" t="s">
        <v>125</v>
      </c>
      <c r="B285" s="30" t="s">
        <v>29</v>
      </c>
      <c r="C285" s="76" t="s">
        <v>126</v>
      </c>
      <c r="D285" s="48" t="s">
        <v>127</v>
      </c>
      <c r="E285" s="59">
        <v>30.0</v>
      </c>
      <c r="F285" s="32" t="s">
        <v>10</v>
      </c>
      <c r="G285" s="32" t="s">
        <v>71</v>
      </c>
      <c r="H285" s="70">
        <v>30.0</v>
      </c>
      <c r="I285" s="37">
        <v>1.710004599E9</v>
      </c>
      <c r="J285" s="58" t="s">
        <v>64</v>
      </c>
      <c r="K285" s="58" t="s">
        <v>56</v>
      </c>
      <c r="L285" s="33">
        <v>7.100003944E9</v>
      </c>
      <c r="M285" s="36" t="str">
        <f t="shared" si="42"/>
        <v>SUDAH PO</v>
      </c>
      <c r="N285" s="56">
        <v>46208.0</v>
      </c>
      <c r="O285" s="38" t="str">
        <f t="shared" si="43"/>
        <v>BELUM DATANG</v>
      </c>
      <c r="P285" s="37"/>
      <c r="Q285" s="37"/>
      <c r="R285" s="70">
        <f t="shared" si="41"/>
        <v>-30</v>
      </c>
    </row>
    <row r="286">
      <c r="A286" s="75" t="s">
        <v>129</v>
      </c>
      <c r="B286" s="30" t="s">
        <v>29</v>
      </c>
      <c r="C286" s="76" t="s">
        <v>130</v>
      </c>
      <c r="D286" s="48" t="s">
        <v>131</v>
      </c>
      <c r="E286" s="32">
        <v>40.0</v>
      </c>
      <c r="F286" s="32" t="s">
        <v>10</v>
      </c>
      <c r="G286" s="32" t="s">
        <v>71</v>
      </c>
      <c r="H286" s="37">
        <v>40.0</v>
      </c>
      <c r="I286" s="53">
        <v>1.710004599E9</v>
      </c>
      <c r="J286" s="58" t="s">
        <v>132</v>
      </c>
      <c r="K286" s="58" t="s">
        <v>56</v>
      </c>
      <c r="L286" s="33">
        <v>7.100003944E9</v>
      </c>
      <c r="M286" s="36" t="str">
        <f t="shared" si="42"/>
        <v>SUDAH PO</v>
      </c>
      <c r="N286" s="56">
        <v>46208.0</v>
      </c>
      <c r="O286" s="38" t="str">
        <f t="shared" si="43"/>
        <v>BELUM DATANG</v>
      </c>
      <c r="P286" s="37"/>
      <c r="Q286" s="37"/>
      <c r="R286" s="37">
        <f t="shared" si="41"/>
        <v>-40</v>
      </c>
    </row>
    <row r="287">
      <c r="A287" s="75" t="s">
        <v>133</v>
      </c>
      <c r="B287" s="30" t="s">
        <v>29</v>
      </c>
      <c r="C287" s="76" t="s">
        <v>134</v>
      </c>
      <c r="D287" s="48" t="s">
        <v>135</v>
      </c>
      <c r="E287" s="38">
        <v>80.0</v>
      </c>
      <c r="F287" s="38" t="s">
        <v>10</v>
      </c>
      <c r="G287" s="37"/>
      <c r="H287" s="53">
        <v>80.0</v>
      </c>
      <c r="I287" s="53">
        <v>1.710004591E9</v>
      </c>
      <c r="J287" s="58" t="s">
        <v>136</v>
      </c>
      <c r="K287" s="38"/>
      <c r="L287" s="36"/>
      <c r="M287" s="36" t="str">
        <f t="shared" si="42"/>
        <v>BELUM PO</v>
      </c>
      <c r="N287" s="37"/>
      <c r="O287" s="38" t="str">
        <f t="shared" si="43"/>
        <v>BELUM DATANG</v>
      </c>
      <c r="P287" s="37"/>
      <c r="Q287" s="37"/>
      <c r="R287" s="37">
        <f t="shared" si="41"/>
        <v>-80</v>
      </c>
    </row>
    <row r="288">
      <c r="A288" s="74"/>
      <c r="B288" s="30" t="s">
        <v>29</v>
      </c>
      <c r="C288" s="47" t="s">
        <v>137</v>
      </c>
      <c r="D288" s="47" t="s">
        <v>138</v>
      </c>
      <c r="E288" s="38">
        <v>196.0</v>
      </c>
      <c r="F288" s="38" t="s">
        <v>106</v>
      </c>
      <c r="G288" s="37"/>
      <c r="H288" s="37"/>
      <c r="I288" s="37"/>
      <c r="J288" s="38"/>
      <c r="K288" s="38"/>
      <c r="L288" s="36"/>
      <c r="M288" s="36" t="str">
        <f t="shared" si="42"/>
        <v>BELUM PO</v>
      </c>
      <c r="N288" s="37"/>
      <c r="O288" s="38" t="str">
        <f t="shared" si="43"/>
        <v>BELUM DATANG</v>
      </c>
      <c r="P288" s="37"/>
      <c r="Q288" s="37"/>
      <c r="R288" s="37">
        <f t="shared" si="41"/>
        <v>0</v>
      </c>
    </row>
    <row r="289">
      <c r="A289" s="38" t="s">
        <v>371</v>
      </c>
      <c r="B289" s="30" t="s">
        <v>29</v>
      </c>
      <c r="C289" s="72" t="s">
        <v>140</v>
      </c>
      <c r="D289" s="72" t="s">
        <v>109</v>
      </c>
      <c r="E289" s="122">
        <v>0.0</v>
      </c>
      <c r="F289" s="123" t="s">
        <v>110</v>
      </c>
      <c r="G289" s="32" t="s">
        <v>71</v>
      </c>
      <c r="H289" s="49"/>
      <c r="I289" s="49"/>
      <c r="J289" s="50"/>
      <c r="K289" s="50"/>
      <c r="L289" s="51"/>
      <c r="M289" s="51" t="str">
        <f t="shared" si="42"/>
        <v>BELUM PO</v>
      </c>
      <c r="N289" s="49"/>
      <c r="O289" s="50" t="str">
        <f t="shared" si="43"/>
        <v>BELUM DATANG</v>
      </c>
      <c r="P289" s="49"/>
      <c r="Q289" s="49"/>
      <c r="R289" s="49">
        <f t="shared" si="41"/>
        <v>0</v>
      </c>
    </row>
    <row r="290">
      <c r="A290" s="38" t="s">
        <v>111</v>
      </c>
      <c r="B290" s="30" t="s">
        <v>29</v>
      </c>
      <c r="C290" s="72" t="s">
        <v>112</v>
      </c>
      <c r="D290" s="72" t="s">
        <v>141</v>
      </c>
      <c r="E290" s="122">
        <v>3136.0</v>
      </c>
      <c r="F290" s="122" t="s">
        <v>110</v>
      </c>
      <c r="G290" s="32" t="s">
        <v>71</v>
      </c>
      <c r="H290" s="122">
        <v>3136.0</v>
      </c>
      <c r="I290" s="49"/>
      <c r="J290" s="50"/>
      <c r="K290" s="50"/>
      <c r="L290" s="51"/>
      <c r="M290" s="51" t="str">
        <f t="shared" si="42"/>
        <v>BELUM PO</v>
      </c>
      <c r="N290" s="49"/>
      <c r="O290" s="50" t="str">
        <f t="shared" si="43"/>
        <v>BELUM DATANG</v>
      </c>
      <c r="P290" s="49"/>
      <c r="Q290" s="49"/>
      <c r="R290" s="49">
        <f t="shared" si="41"/>
        <v>-3136</v>
      </c>
    </row>
    <row r="291">
      <c r="A291" s="38" t="s">
        <v>114</v>
      </c>
      <c r="B291" s="30" t="s">
        <v>29</v>
      </c>
      <c r="C291" s="48" t="s">
        <v>115</v>
      </c>
      <c r="D291" s="48" t="s">
        <v>116</v>
      </c>
      <c r="E291" s="32">
        <v>90.0</v>
      </c>
      <c r="F291" s="32" t="s">
        <v>117</v>
      </c>
      <c r="G291" s="32" t="s">
        <v>71</v>
      </c>
      <c r="H291" s="37">
        <v>90.0</v>
      </c>
      <c r="I291" s="37">
        <v>1.710004599E9</v>
      </c>
      <c r="J291" s="38" t="s">
        <v>64</v>
      </c>
      <c r="K291" s="56">
        <v>46301.0</v>
      </c>
      <c r="L291" s="33">
        <v>7.100003978E9</v>
      </c>
      <c r="M291" s="36" t="str">
        <f t="shared" si="42"/>
        <v>SUDAH PO</v>
      </c>
      <c r="N291" s="33" t="s">
        <v>78</v>
      </c>
      <c r="O291" s="38" t="str">
        <f t="shared" si="43"/>
        <v>BELUM DATANG</v>
      </c>
      <c r="P291" s="37"/>
      <c r="Q291" s="37"/>
      <c r="R291" s="37">
        <f t="shared" si="41"/>
        <v>-90</v>
      </c>
    </row>
    <row r="292">
      <c r="A292" s="37" t="s">
        <v>118</v>
      </c>
      <c r="B292" s="30" t="s">
        <v>29</v>
      </c>
      <c r="C292" s="48" t="s">
        <v>119</v>
      </c>
      <c r="D292" s="48" t="s">
        <v>142</v>
      </c>
      <c r="E292" s="32">
        <v>87.0</v>
      </c>
      <c r="F292" s="32" t="s">
        <v>117</v>
      </c>
      <c r="G292" s="32" t="s">
        <v>71</v>
      </c>
      <c r="H292" s="53">
        <v>87.0</v>
      </c>
      <c r="I292" s="53">
        <v>1.710004543E9</v>
      </c>
      <c r="J292" s="53" t="s">
        <v>314</v>
      </c>
      <c r="K292" s="61">
        <v>46331.0</v>
      </c>
      <c r="L292" s="36">
        <v>7.1000039E9</v>
      </c>
      <c r="M292" s="36" t="str">
        <f t="shared" si="42"/>
        <v>SUDAH PO</v>
      </c>
      <c r="N292" s="33" t="s">
        <v>55</v>
      </c>
      <c r="O292" s="38" t="str">
        <f t="shared" si="43"/>
        <v>CLOSE</v>
      </c>
      <c r="P292" s="33" t="s">
        <v>204</v>
      </c>
      <c r="Q292" s="33">
        <v>87.0</v>
      </c>
      <c r="R292" s="37">
        <f t="shared" si="41"/>
        <v>0</v>
      </c>
    </row>
    <row r="293">
      <c r="A293" s="74"/>
      <c r="B293" s="30" t="s">
        <v>29</v>
      </c>
      <c r="C293" s="47" t="s">
        <v>144</v>
      </c>
      <c r="D293" s="47" t="s">
        <v>105</v>
      </c>
      <c r="E293" s="37">
        <v>332.0</v>
      </c>
      <c r="F293" s="37" t="s">
        <v>106</v>
      </c>
      <c r="G293" s="37"/>
      <c r="H293" s="37"/>
      <c r="I293" s="37"/>
      <c r="J293" s="70"/>
      <c r="K293" s="78"/>
      <c r="L293" s="36"/>
      <c r="M293" s="36" t="str">
        <f t="shared" si="42"/>
        <v>BELUM PO</v>
      </c>
      <c r="N293" s="37"/>
      <c r="O293" s="38" t="str">
        <f t="shared" si="43"/>
        <v>BELUM DATANG</v>
      </c>
      <c r="P293" s="37"/>
      <c r="Q293" s="37"/>
      <c r="R293" s="37">
        <f t="shared" si="41"/>
        <v>0</v>
      </c>
    </row>
    <row r="294">
      <c r="A294" s="33" t="s">
        <v>372</v>
      </c>
      <c r="B294" s="30" t="s">
        <v>29</v>
      </c>
      <c r="C294" s="48" t="s">
        <v>108</v>
      </c>
      <c r="D294" s="48" t="s">
        <v>109</v>
      </c>
      <c r="E294" s="59">
        <v>1295.0</v>
      </c>
      <c r="F294" s="37" t="s">
        <v>110</v>
      </c>
      <c r="G294" s="32" t="s">
        <v>71</v>
      </c>
      <c r="H294" s="53">
        <v>1295.0</v>
      </c>
      <c r="I294" s="34">
        <v>1.710004543E9</v>
      </c>
      <c r="J294" s="35">
        <v>46208.0</v>
      </c>
      <c r="K294" s="35">
        <v>46301.0</v>
      </c>
      <c r="L294" s="33">
        <v>7.100003947E9</v>
      </c>
      <c r="M294" s="36" t="str">
        <f t="shared" si="42"/>
        <v>SUDAH PO</v>
      </c>
      <c r="N294" s="33" t="s">
        <v>78</v>
      </c>
      <c r="O294" s="38" t="str">
        <f t="shared" si="43"/>
        <v>BELUM DATANG</v>
      </c>
      <c r="P294" s="37"/>
      <c r="Q294" s="37"/>
      <c r="R294" s="37">
        <f t="shared" si="41"/>
        <v>-1295</v>
      </c>
    </row>
    <row r="295">
      <c r="A295" s="38" t="s">
        <v>111</v>
      </c>
      <c r="B295" s="30" t="s">
        <v>29</v>
      </c>
      <c r="C295" s="48" t="s">
        <v>112</v>
      </c>
      <c r="D295" s="48" t="s">
        <v>113</v>
      </c>
      <c r="E295" s="32">
        <v>1295.0</v>
      </c>
      <c r="F295" s="124" t="s">
        <v>110</v>
      </c>
      <c r="G295" s="32" t="s">
        <v>71</v>
      </c>
      <c r="H295" s="32">
        <v>1295.0</v>
      </c>
      <c r="I295" s="53">
        <v>1.710004599E9</v>
      </c>
      <c r="J295" s="58" t="s">
        <v>64</v>
      </c>
      <c r="K295" s="58" t="s">
        <v>56</v>
      </c>
      <c r="L295" s="36"/>
      <c r="M295" s="36" t="str">
        <f t="shared" si="42"/>
        <v>BELUM PO</v>
      </c>
      <c r="N295" s="37"/>
      <c r="O295" s="38" t="str">
        <f t="shared" si="43"/>
        <v>BELUM DATANG</v>
      </c>
      <c r="P295" s="37"/>
      <c r="Q295" s="37"/>
      <c r="R295" s="37">
        <f t="shared" si="41"/>
        <v>-1295</v>
      </c>
    </row>
    <row r="296">
      <c r="A296" s="38" t="s">
        <v>114</v>
      </c>
      <c r="B296" s="30" t="s">
        <v>29</v>
      </c>
      <c r="C296" s="48" t="s">
        <v>115</v>
      </c>
      <c r="D296" s="48" t="s">
        <v>116</v>
      </c>
      <c r="E296" s="32">
        <v>71.0</v>
      </c>
      <c r="F296" s="32" t="s">
        <v>117</v>
      </c>
      <c r="G296" s="32" t="s">
        <v>71</v>
      </c>
      <c r="H296" s="34">
        <v>71.0</v>
      </c>
      <c r="I296" s="37">
        <v>1.710004599E9</v>
      </c>
      <c r="J296" s="38" t="s">
        <v>64</v>
      </c>
      <c r="K296" s="56">
        <v>46301.0</v>
      </c>
      <c r="L296" s="33">
        <v>7.100003978E9</v>
      </c>
      <c r="M296" s="36" t="str">
        <f t="shared" si="42"/>
        <v>SUDAH PO</v>
      </c>
      <c r="N296" s="33" t="s">
        <v>78</v>
      </c>
      <c r="O296" s="38" t="str">
        <f t="shared" si="43"/>
        <v>BELUM DATANG</v>
      </c>
      <c r="P296" s="37"/>
      <c r="Q296" s="37"/>
      <c r="R296" s="37">
        <f t="shared" si="41"/>
        <v>-71</v>
      </c>
    </row>
    <row r="297">
      <c r="A297" s="37" t="s">
        <v>118</v>
      </c>
      <c r="B297" s="30" t="s">
        <v>29</v>
      </c>
      <c r="C297" s="48" t="s">
        <v>119</v>
      </c>
      <c r="D297" s="48" t="s">
        <v>120</v>
      </c>
      <c r="E297" s="32">
        <v>71.0</v>
      </c>
      <c r="F297" s="32" t="s">
        <v>117</v>
      </c>
      <c r="G297" s="32" t="s">
        <v>71</v>
      </c>
      <c r="H297" s="37">
        <v>70.0</v>
      </c>
      <c r="I297" s="53">
        <v>1.710004599E9</v>
      </c>
      <c r="J297" s="53" t="s">
        <v>64</v>
      </c>
      <c r="K297" s="35">
        <v>46301.0</v>
      </c>
      <c r="L297" s="33">
        <v>7.100003946E9</v>
      </c>
      <c r="M297" s="36" t="str">
        <f t="shared" si="42"/>
        <v>SUDAH PO</v>
      </c>
      <c r="N297" s="56">
        <v>46332.0</v>
      </c>
      <c r="O297" s="38" t="str">
        <f t="shared" si="43"/>
        <v>CLOSE</v>
      </c>
      <c r="P297" s="56">
        <v>46118.0</v>
      </c>
      <c r="Q297" s="33">
        <v>70.0</v>
      </c>
      <c r="R297" s="37">
        <f t="shared" si="41"/>
        <v>0</v>
      </c>
    </row>
    <row r="298">
      <c r="A298" s="75" t="s">
        <v>122</v>
      </c>
      <c r="B298" s="30" t="s">
        <v>29</v>
      </c>
      <c r="C298" s="76" t="s">
        <v>123</v>
      </c>
      <c r="D298" s="48" t="s">
        <v>124</v>
      </c>
      <c r="E298" s="32">
        <v>150.0</v>
      </c>
      <c r="F298" s="32" t="s">
        <v>10</v>
      </c>
      <c r="G298" s="32" t="s">
        <v>71</v>
      </c>
      <c r="H298" s="37">
        <v>150.0</v>
      </c>
      <c r="I298" s="53">
        <v>1.710004599E9</v>
      </c>
      <c r="J298" s="54" t="s">
        <v>64</v>
      </c>
      <c r="K298" s="35">
        <v>46301.0</v>
      </c>
      <c r="L298" s="33">
        <v>7.100003944E9</v>
      </c>
      <c r="M298" s="36" t="str">
        <f t="shared" si="42"/>
        <v>SUDAH PO</v>
      </c>
      <c r="N298" s="56">
        <v>46208.0</v>
      </c>
      <c r="O298" s="38" t="str">
        <f t="shared" si="43"/>
        <v>BELUM DATANG</v>
      </c>
      <c r="P298" s="37"/>
      <c r="Q298" s="37"/>
      <c r="R298" s="37">
        <f t="shared" si="41"/>
        <v>-150</v>
      </c>
    </row>
    <row r="299">
      <c r="A299" s="74"/>
      <c r="B299" s="30" t="s">
        <v>29</v>
      </c>
      <c r="C299" s="47" t="s">
        <v>147</v>
      </c>
      <c r="D299" s="47" t="s">
        <v>138</v>
      </c>
      <c r="E299" s="37">
        <v>194.0</v>
      </c>
      <c r="F299" s="37" t="s">
        <v>106</v>
      </c>
      <c r="G299" s="37"/>
      <c r="H299" s="37"/>
      <c r="I299" s="37"/>
      <c r="J299" s="125"/>
      <c r="K299" s="78"/>
      <c r="L299" s="36"/>
      <c r="M299" s="36" t="str">
        <f t="shared" si="42"/>
        <v>BELUM PO</v>
      </c>
      <c r="N299" s="37"/>
      <c r="O299" s="38" t="str">
        <f t="shared" si="43"/>
        <v>BELUM DATANG</v>
      </c>
      <c r="P299" s="37"/>
      <c r="Q299" s="37"/>
      <c r="R299" s="37">
        <f t="shared" si="41"/>
        <v>0</v>
      </c>
    </row>
    <row r="300">
      <c r="A300" s="38" t="s">
        <v>373</v>
      </c>
      <c r="B300" s="30" t="s">
        <v>29</v>
      </c>
      <c r="C300" s="72" t="s">
        <v>140</v>
      </c>
      <c r="D300" s="72" t="s">
        <v>109</v>
      </c>
      <c r="E300" s="122">
        <v>0.0</v>
      </c>
      <c r="F300" s="126" t="s">
        <v>110</v>
      </c>
      <c r="G300" s="32" t="s">
        <v>71</v>
      </c>
      <c r="H300" s="49"/>
      <c r="I300" s="49"/>
      <c r="J300" s="50"/>
      <c r="K300" s="50"/>
      <c r="L300" s="51"/>
      <c r="M300" s="51" t="str">
        <f t="shared" si="42"/>
        <v>BELUM PO</v>
      </c>
      <c r="N300" s="49"/>
      <c r="O300" s="50" t="str">
        <f t="shared" si="43"/>
        <v>BELUM DATANG</v>
      </c>
      <c r="P300" s="49"/>
      <c r="Q300" s="49"/>
      <c r="R300" s="49">
        <f t="shared" si="41"/>
        <v>0</v>
      </c>
    </row>
    <row r="301">
      <c r="A301" s="38" t="s">
        <v>111</v>
      </c>
      <c r="B301" s="30" t="s">
        <v>29</v>
      </c>
      <c r="C301" s="72" t="s">
        <v>112</v>
      </c>
      <c r="D301" s="72" t="s">
        <v>141</v>
      </c>
      <c r="E301" s="122">
        <v>3104.0</v>
      </c>
      <c r="F301" s="122" t="s">
        <v>110</v>
      </c>
      <c r="G301" s="32" t="s">
        <v>71</v>
      </c>
      <c r="H301" s="122">
        <v>3104.0</v>
      </c>
      <c r="I301" s="49"/>
      <c r="J301" s="50"/>
      <c r="K301" s="50"/>
      <c r="L301" s="51"/>
      <c r="M301" s="51" t="str">
        <f t="shared" si="42"/>
        <v>BELUM PO</v>
      </c>
      <c r="N301" s="49"/>
      <c r="O301" s="50" t="str">
        <f t="shared" si="43"/>
        <v>BELUM DATANG</v>
      </c>
      <c r="P301" s="49"/>
      <c r="Q301" s="49"/>
      <c r="R301" s="49">
        <f t="shared" si="41"/>
        <v>-3104</v>
      </c>
    </row>
    <row r="302">
      <c r="A302" s="38" t="s">
        <v>114</v>
      </c>
      <c r="B302" s="30" t="s">
        <v>29</v>
      </c>
      <c r="C302" s="48" t="s">
        <v>115</v>
      </c>
      <c r="D302" s="48" t="s">
        <v>116</v>
      </c>
      <c r="E302" s="32">
        <v>90.0</v>
      </c>
      <c r="F302" s="32" t="s">
        <v>117</v>
      </c>
      <c r="G302" s="32" t="s">
        <v>71</v>
      </c>
      <c r="H302" s="37">
        <v>90.0</v>
      </c>
      <c r="I302" s="37">
        <v>1.710004599E9</v>
      </c>
      <c r="J302" s="38" t="s">
        <v>64</v>
      </c>
      <c r="K302" s="56">
        <v>46301.0</v>
      </c>
      <c r="L302" s="33">
        <v>7.100003978E9</v>
      </c>
      <c r="M302" s="36" t="str">
        <f t="shared" si="42"/>
        <v>SUDAH PO</v>
      </c>
      <c r="N302" s="33" t="s">
        <v>78</v>
      </c>
      <c r="O302" s="38" t="str">
        <f t="shared" si="43"/>
        <v>BELUM DATANG</v>
      </c>
      <c r="P302" s="37"/>
      <c r="Q302" s="37"/>
      <c r="R302" s="37">
        <f t="shared" si="41"/>
        <v>-90</v>
      </c>
    </row>
    <row r="303">
      <c r="A303" s="38" t="s">
        <v>118</v>
      </c>
      <c r="B303" s="30" t="s">
        <v>29</v>
      </c>
      <c r="C303" s="48" t="s">
        <v>119</v>
      </c>
      <c r="D303" s="48" t="s">
        <v>142</v>
      </c>
      <c r="E303" s="32">
        <v>87.0</v>
      </c>
      <c r="F303" s="32" t="s">
        <v>117</v>
      </c>
      <c r="G303" s="32" t="s">
        <v>71</v>
      </c>
      <c r="H303" s="53">
        <v>87.0</v>
      </c>
      <c r="I303" s="53">
        <v>1.710004599E9</v>
      </c>
      <c r="J303" s="58" t="s">
        <v>64</v>
      </c>
      <c r="K303" s="35">
        <v>46301.0</v>
      </c>
      <c r="L303" s="33">
        <v>7.100003946E9</v>
      </c>
      <c r="M303" s="36" t="str">
        <f t="shared" si="42"/>
        <v>SUDAH PO</v>
      </c>
      <c r="N303" s="56">
        <v>46332.0</v>
      </c>
      <c r="O303" s="38" t="str">
        <f t="shared" si="43"/>
        <v>CLOSE</v>
      </c>
      <c r="P303" s="56">
        <v>46118.0</v>
      </c>
      <c r="Q303" s="33">
        <v>87.0</v>
      </c>
      <c r="R303" s="37">
        <f t="shared" si="41"/>
        <v>0</v>
      </c>
    </row>
    <row r="304">
      <c r="A304" s="75" t="s">
        <v>150</v>
      </c>
      <c r="B304" s="30" t="s">
        <v>29</v>
      </c>
      <c r="C304" s="48" t="s">
        <v>151</v>
      </c>
      <c r="D304" s="48" t="s">
        <v>152</v>
      </c>
      <c r="E304" s="38">
        <v>88.0</v>
      </c>
      <c r="F304" s="38" t="s">
        <v>44</v>
      </c>
      <c r="G304" s="37"/>
      <c r="H304" s="81">
        <f t="shared" ref="H304:H305" si="44">E304/2.4</f>
        <v>36.66666667</v>
      </c>
      <c r="I304" s="37">
        <v>1.710004599E9</v>
      </c>
      <c r="J304" s="38" t="s">
        <v>64</v>
      </c>
      <c r="K304" s="38" t="s">
        <v>56</v>
      </c>
      <c r="L304" s="33">
        <v>7.100003948E9</v>
      </c>
      <c r="M304" s="36" t="str">
        <f t="shared" si="42"/>
        <v>SUDAH PO</v>
      </c>
      <c r="N304" s="33" t="s">
        <v>78</v>
      </c>
      <c r="O304" s="38" t="str">
        <f t="shared" si="43"/>
        <v>BELUM DATANG</v>
      </c>
      <c r="P304" s="37"/>
      <c r="Q304" s="37"/>
      <c r="R304" s="70">
        <f t="shared" si="41"/>
        <v>-36.66666667</v>
      </c>
    </row>
    <row r="305">
      <c r="A305" s="38" t="s">
        <v>150</v>
      </c>
      <c r="B305" s="30" t="s">
        <v>29</v>
      </c>
      <c r="C305" s="48" t="s">
        <v>154</v>
      </c>
      <c r="D305" s="48" t="s">
        <v>152</v>
      </c>
      <c r="E305" s="38">
        <v>88.0</v>
      </c>
      <c r="F305" s="38" t="s">
        <v>44</v>
      </c>
      <c r="G305" s="37"/>
      <c r="H305" s="81">
        <f t="shared" si="44"/>
        <v>36.66666667</v>
      </c>
      <c r="I305" s="37">
        <v>1.710004599E9</v>
      </c>
      <c r="J305" s="38" t="s">
        <v>64</v>
      </c>
      <c r="K305" s="38" t="s">
        <v>56</v>
      </c>
      <c r="L305" s="33">
        <v>7.100003948E9</v>
      </c>
      <c r="M305" s="36" t="str">
        <f t="shared" si="42"/>
        <v>SUDAH PO</v>
      </c>
      <c r="N305" s="33" t="s">
        <v>78</v>
      </c>
      <c r="O305" s="38" t="str">
        <f t="shared" si="43"/>
        <v>BELUM DATANG</v>
      </c>
      <c r="P305" s="37"/>
      <c r="Q305" s="37"/>
      <c r="R305" s="70">
        <f t="shared" si="41"/>
        <v>-36.66666667</v>
      </c>
    </row>
    <row r="306">
      <c r="A306" s="82" t="s">
        <v>155</v>
      </c>
      <c r="B306" s="30" t="s">
        <v>29</v>
      </c>
      <c r="C306" s="48" t="s">
        <v>156</v>
      </c>
      <c r="D306" s="48" t="s">
        <v>157</v>
      </c>
      <c r="E306" s="38">
        <v>38.0</v>
      </c>
      <c r="F306" s="38" t="s">
        <v>10</v>
      </c>
      <c r="G306" s="37"/>
      <c r="H306" s="83" t="s">
        <v>158</v>
      </c>
      <c r="I306" s="37"/>
      <c r="J306" s="38"/>
      <c r="K306" s="38"/>
      <c r="L306" s="33" t="s">
        <v>159</v>
      </c>
      <c r="M306" s="36" t="str">
        <f t="shared" si="42"/>
        <v>READY STOK</v>
      </c>
      <c r="N306" s="37"/>
      <c r="O306" s="38" t="str">
        <f t="shared" si="43"/>
        <v>BELUM DATANG</v>
      </c>
      <c r="P306" s="37"/>
      <c r="Q306" s="37"/>
      <c r="R306" s="37">
        <f>Q306-G306</f>
        <v>0</v>
      </c>
    </row>
    <row r="307">
      <c r="A307" s="85" t="s">
        <v>374</v>
      </c>
      <c r="B307" s="30" t="s">
        <v>29</v>
      </c>
      <c r="C307" s="84" t="s">
        <v>375</v>
      </c>
      <c r="D307" s="48" t="s">
        <v>162</v>
      </c>
      <c r="E307" s="127">
        <v>1.0</v>
      </c>
      <c r="F307" s="57" t="s">
        <v>163</v>
      </c>
      <c r="G307" s="85" t="s">
        <v>71</v>
      </c>
      <c r="H307" s="85">
        <v>1.0</v>
      </c>
      <c r="I307" s="85">
        <v>1.710004599E9</v>
      </c>
      <c r="J307" s="85" t="s">
        <v>64</v>
      </c>
      <c r="K307" s="87">
        <v>46301.0</v>
      </c>
      <c r="L307" s="86"/>
      <c r="M307" s="86" t="str">
        <f t="shared" si="42"/>
        <v>BELUM PO</v>
      </c>
      <c r="N307" s="85"/>
      <c r="O307" s="88" t="str">
        <f t="shared" si="43"/>
        <v>BELUM DATANG</v>
      </c>
      <c r="P307" s="85"/>
      <c r="Q307" s="85"/>
      <c r="R307" s="85">
        <f>Q307-H307</f>
        <v>-1</v>
      </c>
    </row>
    <row r="308">
      <c r="A308" s="89"/>
      <c r="B308" s="30" t="s">
        <v>29</v>
      </c>
      <c r="C308" s="89"/>
      <c r="D308" s="48" t="s">
        <v>164</v>
      </c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</row>
    <row r="309">
      <c r="A309" s="89"/>
      <c r="B309" s="30" t="s">
        <v>29</v>
      </c>
      <c r="C309" s="89"/>
      <c r="D309" s="48" t="s">
        <v>319</v>
      </c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</row>
    <row r="310">
      <c r="A310" s="89"/>
      <c r="B310" s="30" t="s">
        <v>29</v>
      </c>
      <c r="C310" s="89"/>
      <c r="D310" s="48" t="s">
        <v>166</v>
      </c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</row>
    <row r="311">
      <c r="A311" s="89"/>
      <c r="B311" s="30" t="s">
        <v>29</v>
      </c>
      <c r="C311" s="89"/>
      <c r="D311" s="48" t="s">
        <v>167</v>
      </c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</row>
    <row r="312">
      <c r="A312" s="89"/>
      <c r="B312" s="30" t="s">
        <v>29</v>
      </c>
      <c r="C312" s="89"/>
      <c r="D312" s="48" t="s">
        <v>168</v>
      </c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</row>
    <row r="313">
      <c r="A313" s="89"/>
      <c r="B313" s="30" t="s">
        <v>29</v>
      </c>
      <c r="C313" s="89"/>
      <c r="D313" s="48" t="s">
        <v>169</v>
      </c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</row>
    <row r="314">
      <c r="A314" s="89"/>
      <c r="B314" s="30" t="s">
        <v>29</v>
      </c>
      <c r="C314" s="89"/>
      <c r="D314" s="48" t="s">
        <v>170</v>
      </c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</row>
    <row r="315">
      <c r="A315" s="89"/>
      <c r="B315" s="30" t="s">
        <v>29</v>
      </c>
      <c r="C315" s="89"/>
      <c r="D315" s="48" t="s">
        <v>171</v>
      </c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</row>
    <row r="316">
      <c r="A316" s="18"/>
      <c r="B316" s="30" t="s">
        <v>29</v>
      </c>
      <c r="C316" s="18"/>
      <c r="D316" s="48" t="s">
        <v>172</v>
      </c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>
      <c r="A317" s="41"/>
      <c r="B317" s="41"/>
      <c r="C317" s="42"/>
      <c r="D317" s="42"/>
      <c r="E317" s="42"/>
      <c r="F317" s="42"/>
      <c r="G317" s="43"/>
      <c r="H317" s="44"/>
      <c r="I317" s="44"/>
      <c r="J317" s="44"/>
      <c r="K317" s="25"/>
      <c r="L317" s="25"/>
      <c r="M317" s="25"/>
      <c r="N317" s="44"/>
      <c r="O317" s="24"/>
      <c r="P317" s="44"/>
      <c r="Q317" s="44"/>
      <c r="R317" s="44"/>
    </row>
    <row r="318">
      <c r="A318" s="74"/>
      <c r="B318" s="30" t="s">
        <v>30</v>
      </c>
      <c r="C318" s="47" t="s">
        <v>38</v>
      </c>
      <c r="D318" s="48" t="s">
        <v>39</v>
      </c>
      <c r="E318" s="37">
        <v>1.0</v>
      </c>
      <c r="F318" s="37" t="s">
        <v>40</v>
      </c>
      <c r="G318" s="37"/>
      <c r="H318" s="37"/>
      <c r="I318" s="37"/>
      <c r="J318" s="70"/>
      <c r="K318" s="38"/>
      <c r="L318" s="36"/>
      <c r="M318" s="36" t="str">
        <f t="shared" ref="M318:M342" si="45">IF(LEN(L318)=10,"SUDAH PO",IF(L318="STOK","READY STOK",IF(L318="PL","READY STOK","BELUM PO")))</f>
        <v>BELUM PO</v>
      </c>
      <c r="N318" s="37"/>
      <c r="O318" s="38" t="str">
        <f t="shared" ref="O318:O342" si="46">IF(H318="STOK","STOK",IF(ISBLANK(P318),"BELUM DATANG",IF(R318=0,"CLOSE","DATANG SEBAGIAN")))</f>
        <v>BELUM DATANG</v>
      </c>
      <c r="P318" s="37"/>
      <c r="Q318" s="37"/>
      <c r="R318" s="37">
        <f t="shared" ref="R318:R342" si="47">Q318-H318</f>
        <v>0</v>
      </c>
    </row>
    <row r="319">
      <c r="A319" s="38" t="s">
        <v>376</v>
      </c>
      <c r="B319" s="30" t="s">
        <v>30</v>
      </c>
      <c r="C319" s="48" t="s">
        <v>377</v>
      </c>
      <c r="D319" s="48" t="s">
        <v>378</v>
      </c>
      <c r="E319" s="37">
        <v>6.0</v>
      </c>
      <c r="F319" s="37" t="s">
        <v>44</v>
      </c>
      <c r="G319" s="37"/>
      <c r="H319" s="37">
        <v>6.0</v>
      </c>
      <c r="I319" s="53">
        <v>1.710004599E9</v>
      </c>
      <c r="J319" s="58" t="s">
        <v>64</v>
      </c>
      <c r="K319" s="35">
        <v>46301.0</v>
      </c>
      <c r="L319" s="36"/>
      <c r="M319" s="36" t="str">
        <f t="shared" si="45"/>
        <v>BELUM PO</v>
      </c>
      <c r="N319" s="37"/>
      <c r="O319" s="38" t="str">
        <f t="shared" si="46"/>
        <v>BELUM DATANG</v>
      </c>
      <c r="P319" s="37"/>
      <c r="Q319" s="37"/>
      <c r="R319" s="37">
        <f t="shared" si="47"/>
        <v>-6</v>
      </c>
    </row>
    <row r="320">
      <c r="A320" s="38" t="s">
        <v>379</v>
      </c>
      <c r="B320" s="30" t="s">
        <v>30</v>
      </c>
      <c r="C320" s="48" t="s">
        <v>377</v>
      </c>
      <c r="D320" s="48" t="s">
        <v>48</v>
      </c>
      <c r="E320" s="32">
        <v>6.0</v>
      </c>
      <c r="F320" s="37" t="s">
        <v>44</v>
      </c>
      <c r="G320" s="128"/>
      <c r="H320" s="37">
        <v>6.0</v>
      </c>
      <c r="I320" s="34" t="s">
        <v>159</v>
      </c>
      <c r="J320" s="34" t="s">
        <v>159</v>
      </c>
      <c r="K320" s="34" t="s">
        <v>159</v>
      </c>
      <c r="L320" s="34" t="s">
        <v>159</v>
      </c>
      <c r="M320" s="36" t="str">
        <f t="shared" si="45"/>
        <v>READY STOK</v>
      </c>
      <c r="N320" s="34" t="s">
        <v>159</v>
      </c>
      <c r="O320" s="38" t="str">
        <f t="shared" si="46"/>
        <v>DATANG SEBAGIAN</v>
      </c>
      <c r="P320" s="34" t="s">
        <v>159</v>
      </c>
      <c r="Q320" s="33">
        <v>7.0</v>
      </c>
      <c r="R320" s="37">
        <f t="shared" si="47"/>
        <v>1</v>
      </c>
    </row>
    <row r="321">
      <c r="A321" s="38" t="s">
        <v>380</v>
      </c>
      <c r="B321" s="30" t="s">
        <v>30</v>
      </c>
      <c r="C321" s="48" t="s">
        <v>381</v>
      </c>
      <c r="D321" s="48" t="s">
        <v>378</v>
      </c>
      <c r="E321" s="38">
        <v>12.0</v>
      </c>
      <c r="F321" s="37" t="s">
        <v>44</v>
      </c>
      <c r="G321" s="37"/>
      <c r="H321" s="53">
        <v>12.0</v>
      </c>
      <c r="I321" s="53">
        <v>1.710004599E9</v>
      </c>
      <c r="J321" s="58" t="s">
        <v>64</v>
      </c>
      <c r="K321" s="35">
        <v>46301.0</v>
      </c>
      <c r="L321" s="36"/>
      <c r="M321" s="36" t="str">
        <f t="shared" si="45"/>
        <v>BELUM PO</v>
      </c>
      <c r="N321" s="37"/>
      <c r="O321" s="38" t="str">
        <f t="shared" si="46"/>
        <v>BELUM DATANG</v>
      </c>
      <c r="P321" s="37"/>
      <c r="Q321" s="37"/>
      <c r="R321" s="37">
        <f t="shared" si="47"/>
        <v>-12</v>
      </c>
    </row>
    <row r="322">
      <c r="A322" s="82" t="s">
        <v>382</v>
      </c>
      <c r="B322" s="30" t="s">
        <v>29</v>
      </c>
      <c r="C322" s="97" t="s">
        <v>383</v>
      </c>
      <c r="D322" s="97" t="s">
        <v>384</v>
      </c>
      <c r="E322" s="33">
        <v>24.0</v>
      </c>
      <c r="F322" s="33" t="s">
        <v>26</v>
      </c>
      <c r="G322" s="33" t="s">
        <v>27</v>
      </c>
      <c r="H322" s="34">
        <v>24.0</v>
      </c>
      <c r="I322" s="34">
        <v>1.710004644E9</v>
      </c>
      <c r="J322" s="35">
        <v>46059.0</v>
      </c>
      <c r="K322" s="35">
        <v>46301.0</v>
      </c>
      <c r="L322" s="36"/>
      <c r="M322" s="36" t="str">
        <f t="shared" si="45"/>
        <v>BELUM PO</v>
      </c>
      <c r="N322" s="37"/>
      <c r="O322" s="38" t="str">
        <f t="shared" si="46"/>
        <v>BELUM DATANG</v>
      </c>
      <c r="P322" s="37"/>
      <c r="Q322" s="37"/>
      <c r="R322" s="37">
        <f t="shared" si="47"/>
        <v>-24</v>
      </c>
    </row>
    <row r="323">
      <c r="A323" s="82" t="s">
        <v>385</v>
      </c>
      <c r="B323" s="30" t="s">
        <v>29</v>
      </c>
      <c r="C323" s="129" t="s">
        <v>386</v>
      </c>
      <c r="D323" s="97" t="s">
        <v>384</v>
      </c>
      <c r="E323" s="33">
        <v>24.0</v>
      </c>
      <c r="F323" s="33" t="s">
        <v>26</v>
      </c>
      <c r="G323" s="33" t="s">
        <v>27</v>
      </c>
      <c r="H323" s="34">
        <v>24.0</v>
      </c>
      <c r="I323" s="34">
        <v>1.710004644E9</v>
      </c>
      <c r="J323" s="35">
        <v>46059.0</v>
      </c>
      <c r="K323" s="35">
        <v>46301.0</v>
      </c>
      <c r="L323" s="36"/>
      <c r="M323" s="36" t="str">
        <f t="shared" si="45"/>
        <v>BELUM PO</v>
      </c>
      <c r="N323" s="37"/>
      <c r="O323" s="38" t="str">
        <f t="shared" si="46"/>
        <v>BELUM DATANG</v>
      </c>
      <c r="P323" s="37"/>
      <c r="Q323" s="37"/>
      <c r="R323" s="37">
        <f t="shared" si="47"/>
        <v>-24</v>
      </c>
    </row>
    <row r="324">
      <c r="A324" s="82" t="s">
        <v>387</v>
      </c>
      <c r="B324" s="30" t="s">
        <v>30</v>
      </c>
      <c r="C324" s="97" t="s">
        <v>383</v>
      </c>
      <c r="D324" s="97" t="s">
        <v>384</v>
      </c>
      <c r="E324" s="33">
        <v>24.0</v>
      </c>
      <c r="F324" s="33" t="s">
        <v>26</v>
      </c>
      <c r="G324" s="33" t="s">
        <v>27</v>
      </c>
      <c r="H324" s="34">
        <v>24.0</v>
      </c>
      <c r="I324" s="34">
        <v>1.710004644E9</v>
      </c>
      <c r="J324" s="35">
        <v>46059.0</v>
      </c>
      <c r="K324" s="35">
        <v>46301.0</v>
      </c>
      <c r="L324" s="36"/>
      <c r="M324" s="36" t="str">
        <f t="shared" si="45"/>
        <v>BELUM PO</v>
      </c>
      <c r="N324" s="37"/>
      <c r="O324" s="38" t="str">
        <f t="shared" si="46"/>
        <v>BELUM DATANG</v>
      </c>
      <c r="P324" s="37"/>
      <c r="Q324" s="37"/>
      <c r="R324" s="37">
        <f t="shared" si="47"/>
        <v>-24</v>
      </c>
    </row>
    <row r="325">
      <c r="A325" s="82" t="s">
        <v>388</v>
      </c>
      <c r="B325" s="30" t="s">
        <v>30</v>
      </c>
      <c r="C325" s="130" t="s">
        <v>386</v>
      </c>
      <c r="D325" s="97" t="s">
        <v>384</v>
      </c>
      <c r="E325" s="33">
        <v>24.0</v>
      </c>
      <c r="F325" s="33" t="s">
        <v>26</v>
      </c>
      <c r="G325" s="33" t="s">
        <v>27</v>
      </c>
      <c r="H325" s="34">
        <v>24.0</v>
      </c>
      <c r="I325" s="34">
        <v>1.710004644E9</v>
      </c>
      <c r="J325" s="35">
        <v>46059.0</v>
      </c>
      <c r="K325" s="35">
        <v>46301.0</v>
      </c>
      <c r="L325" s="36"/>
      <c r="M325" s="36" t="str">
        <f t="shared" si="45"/>
        <v>BELUM PO</v>
      </c>
      <c r="N325" s="37"/>
      <c r="O325" s="38" t="str">
        <f t="shared" si="46"/>
        <v>BELUM DATANG</v>
      </c>
      <c r="P325" s="37"/>
      <c r="Q325" s="37"/>
      <c r="R325" s="37">
        <f t="shared" si="47"/>
        <v>-24</v>
      </c>
    </row>
    <row r="326">
      <c r="A326" s="82" t="s">
        <v>389</v>
      </c>
      <c r="B326" s="30" t="s">
        <v>29</v>
      </c>
      <c r="C326" s="130" t="s">
        <v>383</v>
      </c>
      <c r="D326" s="97" t="s">
        <v>390</v>
      </c>
      <c r="E326" s="33">
        <v>12.0</v>
      </c>
      <c r="F326" s="33" t="s">
        <v>26</v>
      </c>
      <c r="G326" s="33" t="s">
        <v>27</v>
      </c>
      <c r="H326" s="33">
        <v>12.0</v>
      </c>
      <c r="I326" s="34">
        <v>1.710004644E9</v>
      </c>
      <c r="J326" s="35">
        <v>46059.0</v>
      </c>
      <c r="K326" s="35">
        <v>46301.0</v>
      </c>
      <c r="L326" s="33">
        <v>7.100003971E9</v>
      </c>
      <c r="M326" s="36" t="str">
        <f t="shared" si="45"/>
        <v>SUDAH PO</v>
      </c>
      <c r="N326" s="56">
        <v>46029.0</v>
      </c>
      <c r="O326" s="38" t="str">
        <f t="shared" si="46"/>
        <v>BELUM DATANG</v>
      </c>
      <c r="P326" s="37"/>
      <c r="Q326" s="37"/>
      <c r="R326" s="37">
        <f t="shared" si="47"/>
        <v>-12</v>
      </c>
    </row>
    <row r="327">
      <c r="A327" s="82" t="s">
        <v>389</v>
      </c>
      <c r="B327" s="30" t="s">
        <v>29</v>
      </c>
      <c r="C327" s="130" t="s">
        <v>386</v>
      </c>
      <c r="D327" s="97" t="s">
        <v>390</v>
      </c>
      <c r="E327" s="33">
        <v>12.0</v>
      </c>
      <c r="F327" s="33" t="s">
        <v>26</v>
      </c>
      <c r="G327" s="33" t="s">
        <v>27</v>
      </c>
      <c r="H327" s="33">
        <v>12.0</v>
      </c>
      <c r="I327" s="34">
        <v>1.710004644E9</v>
      </c>
      <c r="J327" s="35">
        <v>46059.0</v>
      </c>
      <c r="K327" s="35">
        <v>46301.0</v>
      </c>
      <c r="L327" s="33">
        <v>7.100003971E9</v>
      </c>
      <c r="M327" s="36" t="str">
        <f t="shared" si="45"/>
        <v>SUDAH PO</v>
      </c>
      <c r="N327" s="56">
        <v>46029.0</v>
      </c>
      <c r="O327" s="38" t="str">
        <f t="shared" si="46"/>
        <v>BELUM DATANG</v>
      </c>
      <c r="P327" s="37"/>
      <c r="Q327" s="37"/>
      <c r="R327" s="37">
        <f t="shared" si="47"/>
        <v>-12</v>
      </c>
    </row>
    <row r="328">
      <c r="A328" s="82" t="s">
        <v>389</v>
      </c>
      <c r="B328" s="30" t="s">
        <v>30</v>
      </c>
      <c r="C328" s="130" t="s">
        <v>383</v>
      </c>
      <c r="D328" s="97" t="s">
        <v>390</v>
      </c>
      <c r="E328" s="33">
        <v>12.0</v>
      </c>
      <c r="F328" s="33" t="s">
        <v>26</v>
      </c>
      <c r="G328" s="33" t="s">
        <v>27</v>
      </c>
      <c r="H328" s="33">
        <v>12.0</v>
      </c>
      <c r="I328" s="34">
        <v>1.710004644E9</v>
      </c>
      <c r="J328" s="35">
        <v>46059.0</v>
      </c>
      <c r="K328" s="35">
        <v>46301.0</v>
      </c>
      <c r="L328" s="33">
        <v>7.100003971E9</v>
      </c>
      <c r="M328" s="36" t="str">
        <f t="shared" si="45"/>
        <v>SUDAH PO</v>
      </c>
      <c r="N328" s="56">
        <v>46029.0</v>
      </c>
      <c r="O328" s="38" t="str">
        <f t="shared" si="46"/>
        <v>BELUM DATANG</v>
      </c>
      <c r="P328" s="37"/>
      <c r="Q328" s="37"/>
      <c r="R328" s="37">
        <f t="shared" si="47"/>
        <v>-12</v>
      </c>
    </row>
    <row r="329">
      <c r="A329" s="82" t="s">
        <v>389</v>
      </c>
      <c r="B329" s="30" t="s">
        <v>30</v>
      </c>
      <c r="C329" s="130" t="s">
        <v>386</v>
      </c>
      <c r="D329" s="97" t="s">
        <v>390</v>
      </c>
      <c r="E329" s="33">
        <v>12.0</v>
      </c>
      <c r="F329" s="33" t="s">
        <v>26</v>
      </c>
      <c r="G329" s="33" t="s">
        <v>27</v>
      </c>
      <c r="H329" s="33">
        <v>12.0</v>
      </c>
      <c r="I329" s="34">
        <v>1.710004644E9</v>
      </c>
      <c r="J329" s="35">
        <v>46059.0</v>
      </c>
      <c r="K329" s="35">
        <v>46301.0</v>
      </c>
      <c r="L329" s="33">
        <v>7.100003971E9</v>
      </c>
      <c r="M329" s="36" t="str">
        <f t="shared" si="45"/>
        <v>SUDAH PO</v>
      </c>
      <c r="N329" s="56">
        <v>46029.0</v>
      </c>
      <c r="O329" s="38" t="str">
        <f t="shared" si="46"/>
        <v>BELUM DATANG</v>
      </c>
      <c r="P329" s="37"/>
      <c r="Q329" s="37"/>
      <c r="R329" s="37">
        <f t="shared" si="47"/>
        <v>-12</v>
      </c>
    </row>
    <row r="330">
      <c r="A330" s="82" t="s">
        <v>389</v>
      </c>
      <c r="B330" s="30" t="s">
        <v>36</v>
      </c>
      <c r="C330" s="130" t="s">
        <v>391</v>
      </c>
      <c r="D330" s="97" t="s">
        <v>390</v>
      </c>
      <c r="E330" s="33">
        <v>1.0</v>
      </c>
      <c r="F330" s="33" t="s">
        <v>26</v>
      </c>
      <c r="G330" s="33" t="s">
        <v>27</v>
      </c>
      <c r="H330" s="33">
        <v>1.0</v>
      </c>
      <c r="I330" s="34">
        <v>1.710004644E9</v>
      </c>
      <c r="J330" s="35">
        <v>46059.0</v>
      </c>
      <c r="K330" s="35">
        <v>46301.0</v>
      </c>
      <c r="L330" s="33">
        <v>7.100003971E9</v>
      </c>
      <c r="M330" s="36" t="str">
        <f t="shared" si="45"/>
        <v>SUDAH PO</v>
      </c>
      <c r="N330" s="56">
        <v>46029.0</v>
      </c>
      <c r="O330" s="38" t="str">
        <f t="shared" si="46"/>
        <v>BELUM DATANG</v>
      </c>
      <c r="P330" s="37"/>
      <c r="Q330" s="37"/>
      <c r="R330" s="37">
        <f t="shared" si="47"/>
        <v>-1</v>
      </c>
    </row>
    <row r="331">
      <c r="A331" s="37" t="s">
        <v>392</v>
      </c>
      <c r="B331" s="30" t="s">
        <v>30</v>
      </c>
      <c r="C331" s="48" t="s">
        <v>381</v>
      </c>
      <c r="D331" s="48" t="s">
        <v>48</v>
      </c>
      <c r="E331" s="32">
        <v>12.0</v>
      </c>
      <c r="F331" s="38" t="s">
        <v>44</v>
      </c>
      <c r="G331" s="128"/>
      <c r="H331" s="37">
        <v>12.0</v>
      </c>
      <c r="I331" s="34">
        <v>1.710004644E9</v>
      </c>
      <c r="J331" s="35">
        <v>46059.0</v>
      </c>
      <c r="K331" s="35">
        <v>46301.0</v>
      </c>
      <c r="L331" s="36"/>
      <c r="M331" s="36" t="str">
        <f t="shared" si="45"/>
        <v>BELUM PO</v>
      </c>
      <c r="N331" s="37"/>
      <c r="O331" s="38" t="str">
        <f t="shared" si="46"/>
        <v>BELUM DATANG</v>
      </c>
      <c r="P331" s="37"/>
      <c r="Q331" s="37"/>
      <c r="R331" s="37">
        <f t="shared" si="47"/>
        <v>-12</v>
      </c>
    </row>
    <row r="332">
      <c r="A332" s="71" t="s">
        <v>328</v>
      </c>
      <c r="B332" s="30" t="s">
        <v>30</v>
      </c>
      <c r="C332" s="72" t="s">
        <v>329</v>
      </c>
      <c r="D332" s="72" t="s">
        <v>330</v>
      </c>
      <c r="E332" s="73">
        <v>32.0</v>
      </c>
      <c r="F332" s="73" t="s">
        <v>10</v>
      </c>
      <c r="G332" s="37"/>
      <c r="H332" s="49"/>
      <c r="I332" s="49"/>
      <c r="J332" s="131"/>
      <c r="K332" s="50"/>
      <c r="L332" s="51"/>
      <c r="M332" s="51" t="str">
        <f t="shared" si="45"/>
        <v>BELUM PO</v>
      </c>
      <c r="N332" s="49"/>
      <c r="O332" s="50" t="str">
        <f t="shared" si="46"/>
        <v>BELUM DATANG</v>
      </c>
      <c r="P332" s="49"/>
      <c r="Q332" s="49"/>
      <c r="R332" s="49">
        <f t="shared" si="47"/>
        <v>0</v>
      </c>
    </row>
    <row r="333">
      <c r="A333" s="38" t="s">
        <v>393</v>
      </c>
      <c r="B333" s="30" t="s">
        <v>30</v>
      </c>
      <c r="C333" s="48" t="s">
        <v>53</v>
      </c>
      <c r="D333" s="48" t="s">
        <v>394</v>
      </c>
      <c r="E333" s="38">
        <v>24.0</v>
      </c>
      <c r="F333" s="37" t="s">
        <v>10</v>
      </c>
      <c r="G333" s="37"/>
      <c r="H333" s="53">
        <v>24.0</v>
      </c>
      <c r="I333" s="53">
        <v>1.710004599E9</v>
      </c>
      <c r="J333" s="58" t="s">
        <v>64</v>
      </c>
      <c r="K333" s="58" t="s">
        <v>56</v>
      </c>
      <c r="L333" s="36"/>
      <c r="M333" s="36" t="str">
        <f t="shared" si="45"/>
        <v>BELUM PO</v>
      </c>
      <c r="N333" s="37"/>
      <c r="O333" s="38" t="str">
        <f t="shared" si="46"/>
        <v>BELUM DATANG</v>
      </c>
      <c r="P333" s="37"/>
      <c r="Q333" s="37"/>
      <c r="R333" s="37">
        <f t="shared" si="47"/>
        <v>-24</v>
      </c>
    </row>
    <row r="334">
      <c r="A334" s="38" t="s">
        <v>395</v>
      </c>
      <c r="B334" s="30" t="s">
        <v>30</v>
      </c>
      <c r="C334" s="48" t="s">
        <v>53</v>
      </c>
      <c r="D334" s="48" t="s">
        <v>396</v>
      </c>
      <c r="E334" s="38">
        <v>24.0</v>
      </c>
      <c r="F334" s="37" t="s">
        <v>10</v>
      </c>
      <c r="G334" s="37"/>
      <c r="H334" s="37">
        <v>24.0</v>
      </c>
      <c r="I334" s="53">
        <v>1.710004599E9</v>
      </c>
      <c r="J334" s="33" t="s">
        <v>132</v>
      </c>
      <c r="K334" s="56">
        <v>46301.0</v>
      </c>
      <c r="L334" s="36"/>
      <c r="M334" s="36" t="str">
        <f t="shared" si="45"/>
        <v>BELUM PO</v>
      </c>
      <c r="N334" s="37"/>
      <c r="O334" s="38" t="str">
        <f t="shared" si="46"/>
        <v>BELUM DATANG</v>
      </c>
      <c r="P334" s="37"/>
      <c r="Q334" s="37"/>
      <c r="R334" s="37">
        <f t="shared" si="47"/>
        <v>-24</v>
      </c>
    </row>
    <row r="335">
      <c r="A335" s="38" t="s">
        <v>397</v>
      </c>
      <c r="B335" s="30" t="s">
        <v>36</v>
      </c>
      <c r="C335" s="48" t="s">
        <v>53</v>
      </c>
      <c r="D335" s="48" t="s">
        <v>398</v>
      </c>
      <c r="E335" s="33">
        <v>4.0</v>
      </c>
      <c r="F335" s="37" t="s">
        <v>10</v>
      </c>
      <c r="G335" s="37"/>
      <c r="H335" s="33">
        <v>4.0</v>
      </c>
      <c r="I335" s="34">
        <v>1.710004658E9</v>
      </c>
      <c r="J335" s="56">
        <v>46148.0</v>
      </c>
      <c r="K335" s="56">
        <v>46301.0</v>
      </c>
      <c r="L335" s="36"/>
      <c r="M335" s="36" t="str">
        <f t="shared" si="45"/>
        <v>BELUM PO</v>
      </c>
      <c r="N335" s="37"/>
      <c r="O335" s="38" t="str">
        <f t="shared" si="46"/>
        <v>BELUM DATANG</v>
      </c>
      <c r="P335" s="37"/>
      <c r="Q335" s="37"/>
      <c r="R335" s="37">
        <f t="shared" si="47"/>
        <v>-4</v>
      </c>
    </row>
    <row r="336">
      <c r="A336" s="29" t="s">
        <v>399</v>
      </c>
      <c r="B336" s="30" t="s">
        <v>30</v>
      </c>
      <c r="C336" s="48" t="s">
        <v>53</v>
      </c>
      <c r="D336" s="48" t="s">
        <v>400</v>
      </c>
      <c r="E336" s="38">
        <v>17.0</v>
      </c>
      <c r="F336" s="38" t="s">
        <v>10</v>
      </c>
      <c r="G336" s="37"/>
      <c r="H336" s="37">
        <v>17.0</v>
      </c>
      <c r="I336" s="33">
        <v>1.710004658E9</v>
      </c>
      <c r="J336" s="56">
        <v>46148.0</v>
      </c>
      <c r="K336" s="56">
        <v>46301.0</v>
      </c>
      <c r="L336" s="33">
        <v>7.100003986E9</v>
      </c>
      <c r="M336" s="36" t="str">
        <f t="shared" si="45"/>
        <v>SUDAH PO</v>
      </c>
      <c r="N336" s="56">
        <v>46301.0</v>
      </c>
      <c r="O336" s="38" t="str">
        <f t="shared" si="46"/>
        <v>BELUM DATANG</v>
      </c>
      <c r="P336" s="37"/>
      <c r="Q336" s="37"/>
      <c r="R336" s="37">
        <f t="shared" si="47"/>
        <v>-17</v>
      </c>
    </row>
    <row r="337">
      <c r="A337" s="38" t="s">
        <v>401</v>
      </c>
      <c r="B337" s="30" t="s">
        <v>30</v>
      </c>
      <c r="C337" s="48" t="s">
        <v>53</v>
      </c>
      <c r="D337" s="48" t="s">
        <v>402</v>
      </c>
      <c r="E337" s="38">
        <v>43.0</v>
      </c>
      <c r="F337" s="38" t="s">
        <v>10</v>
      </c>
      <c r="G337" s="37"/>
      <c r="H337" s="53">
        <v>43.0</v>
      </c>
      <c r="I337" s="53">
        <v>1.710004599E9</v>
      </c>
      <c r="J337" s="58" t="s">
        <v>64</v>
      </c>
      <c r="K337" s="35">
        <v>46301.0</v>
      </c>
      <c r="L337" s="33"/>
      <c r="M337" s="36" t="str">
        <f t="shared" si="45"/>
        <v>BELUM PO</v>
      </c>
      <c r="N337" s="56"/>
      <c r="O337" s="38" t="str">
        <f t="shared" si="46"/>
        <v>BELUM DATANG</v>
      </c>
      <c r="P337" s="37"/>
      <c r="Q337" s="37"/>
      <c r="R337" s="37">
        <f t="shared" si="47"/>
        <v>-43</v>
      </c>
    </row>
    <row r="338">
      <c r="A338" s="29" t="s">
        <v>403</v>
      </c>
      <c r="B338" s="30" t="s">
        <v>30</v>
      </c>
      <c r="C338" s="48" t="s">
        <v>53</v>
      </c>
      <c r="D338" s="106" t="s">
        <v>404</v>
      </c>
      <c r="E338" s="109">
        <v>28.0</v>
      </c>
      <c r="F338" s="38" t="s">
        <v>10</v>
      </c>
      <c r="G338" s="37"/>
      <c r="H338" s="53">
        <v>28.0</v>
      </c>
      <c r="I338" s="34">
        <v>1.710004644E9</v>
      </c>
      <c r="J338" s="35">
        <v>46059.0</v>
      </c>
      <c r="K338" s="35">
        <v>46301.0</v>
      </c>
      <c r="L338" s="33">
        <v>1.710004644E9</v>
      </c>
      <c r="M338" s="36" t="str">
        <f t="shared" si="45"/>
        <v>SUDAH PO</v>
      </c>
      <c r="N338" s="35">
        <v>46301.0</v>
      </c>
      <c r="O338" s="38" t="str">
        <f t="shared" si="46"/>
        <v>BELUM DATANG</v>
      </c>
      <c r="P338" s="37"/>
      <c r="Q338" s="37"/>
      <c r="R338" s="37">
        <f t="shared" si="47"/>
        <v>-28</v>
      </c>
    </row>
    <row r="339">
      <c r="A339" s="92" t="s">
        <v>405</v>
      </c>
      <c r="B339" s="90" t="s">
        <v>30</v>
      </c>
      <c r="C339" s="48" t="s">
        <v>53</v>
      </c>
      <c r="D339" s="132" t="s">
        <v>406</v>
      </c>
      <c r="E339" s="32">
        <v>24.0</v>
      </c>
      <c r="F339" s="38" t="s">
        <v>10</v>
      </c>
      <c r="G339" s="46"/>
      <c r="H339" s="34">
        <v>24.0</v>
      </c>
      <c r="I339" s="34">
        <v>1.710004644E9</v>
      </c>
      <c r="J339" s="35">
        <v>46059.0</v>
      </c>
      <c r="K339" s="35">
        <v>46301.0</v>
      </c>
      <c r="L339" s="33">
        <v>1.710004644E9</v>
      </c>
      <c r="M339" s="68" t="str">
        <f t="shared" si="45"/>
        <v>SUDAH PO</v>
      </c>
      <c r="N339" s="35">
        <v>46301.0</v>
      </c>
      <c r="O339" s="63" t="str">
        <f t="shared" si="46"/>
        <v>BELUM DATANG</v>
      </c>
      <c r="P339" s="46"/>
      <c r="Q339" s="46"/>
      <c r="R339" s="37">
        <f t="shared" si="47"/>
        <v>-24</v>
      </c>
    </row>
    <row r="340">
      <c r="A340" s="92" t="s">
        <v>407</v>
      </c>
      <c r="B340" s="133" t="s">
        <v>34</v>
      </c>
      <c r="C340" s="48" t="s">
        <v>53</v>
      </c>
      <c r="D340" s="132" t="s">
        <v>408</v>
      </c>
      <c r="E340" s="32">
        <v>20.0</v>
      </c>
      <c r="F340" s="38" t="s">
        <v>10</v>
      </c>
      <c r="G340" s="46"/>
      <c r="H340" s="34">
        <v>20.0</v>
      </c>
      <c r="I340" s="34">
        <v>1.710004644E9</v>
      </c>
      <c r="J340" s="35">
        <v>46059.0</v>
      </c>
      <c r="K340" s="35">
        <v>46301.0</v>
      </c>
      <c r="L340" s="33">
        <v>1.710004644E9</v>
      </c>
      <c r="M340" s="68" t="str">
        <f t="shared" si="45"/>
        <v>SUDAH PO</v>
      </c>
      <c r="N340" s="35">
        <v>46301.0</v>
      </c>
      <c r="O340" s="63" t="str">
        <f t="shared" si="46"/>
        <v>BELUM DATANG</v>
      </c>
      <c r="P340" s="46"/>
      <c r="Q340" s="46"/>
      <c r="R340" s="37">
        <f t="shared" si="47"/>
        <v>-20</v>
      </c>
    </row>
    <row r="341">
      <c r="A341" s="92" t="s">
        <v>409</v>
      </c>
      <c r="B341" s="133" t="s">
        <v>36</v>
      </c>
      <c r="C341" s="48" t="s">
        <v>53</v>
      </c>
      <c r="D341" s="132" t="s">
        <v>410</v>
      </c>
      <c r="E341" s="32">
        <v>2.0</v>
      </c>
      <c r="F341" s="38" t="s">
        <v>10</v>
      </c>
      <c r="G341" s="46"/>
      <c r="H341" s="34">
        <v>2.0</v>
      </c>
      <c r="I341" s="34">
        <v>1.710004644E9</v>
      </c>
      <c r="J341" s="35">
        <v>46059.0</v>
      </c>
      <c r="K341" s="35">
        <v>46301.0</v>
      </c>
      <c r="L341" s="33">
        <v>1.710004644E9</v>
      </c>
      <c r="M341" s="68" t="str">
        <f t="shared" si="45"/>
        <v>SUDAH PO</v>
      </c>
      <c r="N341" s="35">
        <v>46301.0</v>
      </c>
      <c r="O341" s="63" t="str">
        <f t="shared" si="46"/>
        <v>BELUM DATANG</v>
      </c>
      <c r="P341" s="46"/>
      <c r="Q341" s="46"/>
      <c r="R341" s="37">
        <f t="shared" si="47"/>
        <v>-2</v>
      </c>
    </row>
    <row r="342">
      <c r="A342" s="33" t="s">
        <v>411</v>
      </c>
      <c r="B342" s="30" t="s">
        <v>30</v>
      </c>
      <c r="C342" s="48" t="s">
        <v>53</v>
      </c>
      <c r="D342" s="48" t="s">
        <v>280</v>
      </c>
      <c r="E342" s="33">
        <v>4.0</v>
      </c>
      <c r="F342" s="38" t="s">
        <v>10</v>
      </c>
      <c r="G342" s="33" t="s">
        <v>71</v>
      </c>
      <c r="H342" s="33">
        <v>4.0</v>
      </c>
      <c r="I342" s="69">
        <v>1.710004599E9</v>
      </c>
      <c r="J342" s="56">
        <v>46148.0</v>
      </c>
      <c r="K342" s="56">
        <v>46301.0</v>
      </c>
      <c r="L342" s="33">
        <v>7.100003986E9</v>
      </c>
      <c r="M342" s="36" t="str">
        <f t="shared" si="45"/>
        <v>SUDAH PO</v>
      </c>
      <c r="N342" s="56">
        <v>46301.0</v>
      </c>
      <c r="O342" s="38" t="str">
        <f t="shared" si="46"/>
        <v>BELUM DATANG</v>
      </c>
      <c r="P342" s="37"/>
      <c r="Q342" s="37"/>
      <c r="R342" s="37">
        <f t="shared" si="47"/>
        <v>-4</v>
      </c>
    </row>
    <row r="343">
      <c r="A343" s="71"/>
      <c r="B343" s="30"/>
      <c r="C343" s="48"/>
      <c r="D343" s="48"/>
      <c r="E343" s="33"/>
      <c r="F343" s="38"/>
      <c r="G343" s="37"/>
      <c r="H343" s="37"/>
      <c r="I343" s="70"/>
      <c r="J343" s="38"/>
      <c r="K343" s="38"/>
      <c r="L343" s="36"/>
      <c r="M343" s="36"/>
      <c r="N343" s="37"/>
      <c r="O343" s="38"/>
      <c r="P343" s="37"/>
      <c r="Q343" s="37"/>
      <c r="R343" s="37"/>
    </row>
    <row r="344">
      <c r="A344" s="38" t="s">
        <v>412</v>
      </c>
      <c r="B344" s="30" t="s">
        <v>30</v>
      </c>
      <c r="C344" s="48" t="s">
        <v>282</v>
      </c>
      <c r="D344" s="48" t="s">
        <v>63</v>
      </c>
      <c r="E344" s="134">
        <v>43.0</v>
      </c>
      <c r="F344" s="38" t="s">
        <v>10</v>
      </c>
      <c r="G344" s="32" t="s">
        <v>71</v>
      </c>
      <c r="H344" s="37">
        <v>43.0</v>
      </c>
      <c r="I344" s="53">
        <v>1.710004543E9</v>
      </c>
      <c r="J344" s="54" t="s">
        <v>45</v>
      </c>
      <c r="K344" s="61">
        <v>46331.0</v>
      </c>
      <c r="L344" s="36">
        <v>7.1000039E9</v>
      </c>
      <c r="M344" s="36" t="str">
        <f t="shared" ref="M344:M355" si="48">IF(LEN(L344)=10,"SUDAH PO",IF(L344="STOK","READY STOK",IF(L344="PL","READY STOK","BELUM PO")))</f>
        <v>SUDAH PO</v>
      </c>
      <c r="N344" s="33" t="s">
        <v>55</v>
      </c>
      <c r="O344" s="38" t="str">
        <f t="shared" ref="O344:O355" si="49">IF(H344="STOK","STOK",IF(ISBLANK(P344),"BELUM DATANG",IF(R344=0,"CLOSE","DATANG SEBAGIAN")))</f>
        <v>CLOSE</v>
      </c>
      <c r="P344" s="33" t="s">
        <v>64</v>
      </c>
      <c r="Q344" s="37">
        <v>43.0</v>
      </c>
      <c r="R344" s="37">
        <f t="shared" ref="R344:R348" si="50">Q344-H344</f>
        <v>0</v>
      </c>
    </row>
    <row r="345">
      <c r="A345" s="38" t="s">
        <v>413</v>
      </c>
      <c r="B345" s="30" t="s">
        <v>30</v>
      </c>
      <c r="C345" s="48" t="s">
        <v>284</v>
      </c>
      <c r="D345" s="48" t="s">
        <v>67</v>
      </c>
      <c r="E345" s="38">
        <v>25.0</v>
      </c>
      <c r="F345" s="38" t="s">
        <v>10</v>
      </c>
      <c r="G345" s="32" t="s">
        <v>71</v>
      </c>
      <c r="H345" s="37">
        <v>25.0</v>
      </c>
      <c r="I345" s="58">
        <v>1.710004599E9</v>
      </c>
      <c r="J345" s="34" t="s">
        <v>64</v>
      </c>
      <c r="K345" s="35">
        <v>46301.0</v>
      </c>
      <c r="L345" s="33">
        <v>7.100003974E9</v>
      </c>
      <c r="M345" s="36" t="str">
        <f t="shared" si="48"/>
        <v>SUDAH PO</v>
      </c>
      <c r="N345" s="33" t="s">
        <v>56</v>
      </c>
      <c r="O345" s="36" t="str">
        <f t="shared" si="49"/>
        <v>BELUM DATANG</v>
      </c>
      <c r="P345" s="36"/>
      <c r="Q345" s="37"/>
      <c r="R345" s="37">
        <f t="shared" si="50"/>
        <v>-25</v>
      </c>
    </row>
    <row r="346">
      <c r="A346" s="75" t="s">
        <v>285</v>
      </c>
      <c r="B346" s="30" t="s">
        <v>30</v>
      </c>
      <c r="C346" s="48" t="s">
        <v>345</v>
      </c>
      <c r="D346" s="48" t="s">
        <v>346</v>
      </c>
      <c r="E346" s="38">
        <v>2.0</v>
      </c>
      <c r="F346" s="38" t="s">
        <v>10</v>
      </c>
      <c r="G346" s="37"/>
      <c r="H346" s="53">
        <v>2.0</v>
      </c>
      <c r="I346" s="58">
        <v>1.710004599E9</v>
      </c>
      <c r="J346" s="58" t="s">
        <v>64</v>
      </c>
      <c r="K346" s="35">
        <v>46301.0</v>
      </c>
      <c r="L346" s="33">
        <v>7.100003943E9</v>
      </c>
      <c r="M346" s="36" t="str">
        <f t="shared" si="48"/>
        <v>SUDAH PO</v>
      </c>
      <c r="N346" s="56">
        <v>46362.0</v>
      </c>
      <c r="O346" s="36" t="str">
        <f t="shared" si="49"/>
        <v>BELUM DATANG</v>
      </c>
      <c r="P346" s="36"/>
      <c r="Q346" s="37"/>
      <c r="R346" s="37">
        <f t="shared" si="50"/>
        <v>-2</v>
      </c>
    </row>
    <row r="347">
      <c r="A347" s="38" t="s">
        <v>414</v>
      </c>
      <c r="B347" s="30" t="s">
        <v>30</v>
      </c>
      <c r="C347" s="48" t="s">
        <v>348</v>
      </c>
      <c r="D347" s="48" t="s">
        <v>70</v>
      </c>
      <c r="E347" s="38">
        <v>2.0</v>
      </c>
      <c r="F347" s="38" t="s">
        <v>10</v>
      </c>
      <c r="G347" s="32" t="s">
        <v>71</v>
      </c>
      <c r="H347" s="37">
        <v>2.0</v>
      </c>
      <c r="I347" s="38">
        <v>1.710004543E9</v>
      </c>
      <c r="J347" s="58" t="s">
        <v>45</v>
      </c>
      <c r="K347" s="61">
        <v>46331.0</v>
      </c>
      <c r="L347" s="36">
        <v>7.1000039E9</v>
      </c>
      <c r="M347" s="36" t="str">
        <f t="shared" si="48"/>
        <v>SUDAH PO</v>
      </c>
      <c r="N347" s="36" t="s">
        <v>55</v>
      </c>
      <c r="O347" s="36" t="str">
        <f t="shared" si="49"/>
        <v>CLOSE</v>
      </c>
      <c r="P347" s="33" t="s">
        <v>64</v>
      </c>
      <c r="Q347" s="33">
        <v>2.0</v>
      </c>
      <c r="R347" s="37">
        <f t="shared" si="50"/>
        <v>0</v>
      </c>
    </row>
    <row r="348">
      <c r="A348" s="38" t="s">
        <v>415</v>
      </c>
      <c r="B348" s="30" t="s">
        <v>30</v>
      </c>
      <c r="C348" s="48" t="s">
        <v>350</v>
      </c>
      <c r="D348" s="48" t="s">
        <v>74</v>
      </c>
      <c r="E348" s="33">
        <v>81.0</v>
      </c>
      <c r="F348" s="38" t="s">
        <v>10</v>
      </c>
      <c r="G348" s="32" t="s">
        <v>27</v>
      </c>
      <c r="H348" s="33">
        <v>81.0</v>
      </c>
      <c r="I348" s="34">
        <v>1.710004543E9</v>
      </c>
      <c r="J348" s="34" t="s">
        <v>45</v>
      </c>
      <c r="K348" s="35">
        <v>46331.0</v>
      </c>
      <c r="L348" s="34">
        <v>7.1000039E9</v>
      </c>
      <c r="M348" s="36" t="str">
        <f t="shared" si="48"/>
        <v>SUDAH PO</v>
      </c>
      <c r="N348" s="33" t="s">
        <v>46</v>
      </c>
      <c r="O348" s="36" t="str">
        <f t="shared" si="49"/>
        <v>CLOSE</v>
      </c>
      <c r="P348" s="37" t="s">
        <v>64</v>
      </c>
      <c r="Q348" s="33">
        <v>81.0</v>
      </c>
      <c r="R348" s="37">
        <f t="shared" si="50"/>
        <v>0</v>
      </c>
    </row>
    <row r="349">
      <c r="A349" s="71" t="s">
        <v>328</v>
      </c>
      <c r="B349" s="30" t="s">
        <v>30</v>
      </c>
      <c r="C349" s="72" t="s">
        <v>329</v>
      </c>
      <c r="D349" s="72" t="s">
        <v>330</v>
      </c>
      <c r="E349" s="71">
        <v>32.0</v>
      </c>
      <c r="F349" s="71" t="s">
        <v>10</v>
      </c>
      <c r="G349" s="37"/>
      <c r="H349" s="49"/>
      <c r="I349" s="50"/>
      <c r="J349" s="51"/>
      <c r="K349" s="51"/>
      <c r="L349" s="51"/>
      <c r="M349" s="51" t="str">
        <f t="shared" si="48"/>
        <v>BELUM PO</v>
      </c>
      <c r="N349" s="51"/>
      <c r="O349" s="51" t="str">
        <f t="shared" si="49"/>
        <v>BELUM DATANG</v>
      </c>
      <c r="P349" s="51"/>
      <c r="Q349" s="49"/>
      <c r="R349" s="49"/>
    </row>
    <row r="350">
      <c r="A350" s="38" t="s">
        <v>416</v>
      </c>
      <c r="B350" s="30" t="s">
        <v>30</v>
      </c>
      <c r="C350" s="48" t="s">
        <v>80</v>
      </c>
      <c r="D350" s="48" t="s">
        <v>417</v>
      </c>
      <c r="E350" s="38">
        <v>24.0</v>
      </c>
      <c r="F350" s="38" t="s">
        <v>10</v>
      </c>
      <c r="G350" s="37"/>
      <c r="H350" s="53">
        <v>24.0</v>
      </c>
      <c r="I350" s="58">
        <v>1.710004599E9</v>
      </c>
      <c r="J350" s="58" t="s">
        <v>64</v>
      </c>
      <c r="K350" s="58" t="s">
        <v>56</v>
      </c>
      <c r="L350" s="36"/>
      <c r="M350" s="36" t="str">
        <f t="shared" si="48"/>
        <v>BELUM PO</v>
      </c>
      <c r="N350" s="36"/>
      <c r="O350" s="36" t="str">
        <f t="shared" si="49"/>
        <v>BELUM DATANG</v>
      </c>
      <c r="P350" s="36"/>
      <c r="Q350" s="37"/>
      <c r="R350" s="37">
        <f t="shared" ref="R350:R362" si="51">Q350-H350</f>
        <v>-24</v>
      </c>
    </row>
    <row r="351">
      <c r="A351" s="38" t="s">
        <v>418</v>
      </c>
      <c r="B351" s="30" t="s">
        <v>29</v>
      </c>
      <c r="C351" s="48" t="s">
        <v>80</v>
      </c>
      <c r="D351" s="48" t="s">
        <v>419</v>
      </c>
      <c r="E351" s="70">
        <v>24.0</v>
      </c>
      <c r="F351" s="38" t="s">
        <v>10</v>
      </c>
      <c r="G351" s="32" t="s">
        <v>71</v>
      </c>
      <c r="H351" s="53">
        <v>24.0</v>
      </c>
      <c r="I351" s="34">
        <v>1.710004644E9</v>
      </c>
      <c r="J351" s="56">
        <v>46059.0</v>
      </c>
      <c r="K351" s="56">
        <v>46301.0</v>
      </c>
      <c r="L351" s="36"/>
      <c r="M351" s="36" t="str">
        <f t="shared" si="48"/>
        <v>BELUM PO</v>
      </c>
      <c r="N351" s="36"/>
      <c r="O351" s="36" t="str">
        <f t="shared" si="49"/>
        <v>BELUM DATANG</v>
      </c>
      <c r="P351" s="36"/>
      <c r="Q351" s="37"/>
      <c r="R351" s="37">
        <f t="shared" si="51"/>
        <v>-24</v>
      </c>
    </row>
    <row r="352">
      <c r="A352" s="38" t="s">
        <v>420</v>
      </c>
      <c r="B352" s="30" t="s">
        <v>30</v>
      </c>
      <c r="C352" s="48" t="s">
        <v>80</v>
      </c>
      <c r="D352" s="48" t="s">
        <v>421</v>
      </c>
      <c r="E352" s="70">
        <v>24.0</v>
      </c>
      <c r="F352" s="38" t="s">
        <v>10</v>
      </c>
      <c r="G352" s="32" t="s">
        <v>71</v>
      </c>
      <c r="H352" s="53">
        <v>24.0</v>
      </c>
      <c r="I352" s="34">
        <v>1.710004644E9</v>
      </c>
      <c r="J352" s="56">
        <v>46059.0</v>
      </c>
      <c r="K352" s="56">
        <v>46301.0</v>
      </c>
      <c r="L352" s="36"/>
      <c r="M352" s="36" t="str">
        <f t="shared" si="48"/>
        <v>BELUM PO</v>
      </c>
      <c r="N352" s="36"/>
      <c r="O352" s="36" t="str">
        <f t="shared" si="49"/>
        <v>BELUM DATANG</v>
      </c>
      <c r="P352" s="36"/>
      <c r="Q352" s="37"/>
      <c r="R352" s="37">
        <f t="shared" si="51"/>
        <v>-24</v>
      </c>
    </row>
    <row r="353">
      <c r="A353" s="29" t="s">
        <v>422</v>
      </c>
      <c r="B353" s="30" t="s">
        <v>30</v>
      </c>
      <c r="C353" s="48" t="s">
        <v>80</v>
      </c>
      <c r="D353" s="72" t="s">
        <v>423</v>
      </c>
      <c r="E353" s="38">
        <v>16.0</v>
      </c>
      <c r="F353" s="38" t="s">
        <v>10</v>
      </c>
      <c r="G353" s="32" t="s">
        <v>71</v>
      </c>
      <c r="H353" s="33">
        <v>16.0</v>
      </c>
      <c r="I353" s="33">
        <v>1.710004658E9</v>
      </c>
      <c r="J353" s="56">
        <v>46240.0</v>
      </c>
      <c r="K353" s="56">
        <v>46301.0</v>
      </c>
      <c r="L353" s="36"/>
      <c r="M353" s="36" t="str">
        <f t="shared" si="48"/>
        <v>BELUM PO</v>
      </c>
      <c r="N353" s="36"/>
      <c r="O353" s="36" t="str">
        <f t="shared" si="49"/>
        <v>BELUM DATANG</v>
      </c>
      <c r="P353" s="36"/>
      <c r="Q353" s="37"/>
      <c r="R353" s="37">
        <f t="shared" si="51"/>
        <v>-16</v>
      </c>
    </row>
    <row r="354">
      <c r="A354" s="33" t="s">
        <v>424</v>
      </c>
      <c r="B354" s="30" t="s">
        <v>30</v>
      </c>
      <c r="C354" s="48" t="s">
        <v>80</v>
      </c>
      <c r="D354" s="48" t="s">
        <v>425</v>
      </c>
      <c r="E354" s="38">
        <v>46.0</v>
      </c>
      <c r="F354" s="38" t="s">
        <v>10</v>
      </c>
      <c r="G354" s="37"/>
      <c r="H354" s="37"/>
      <c r="I354" s="38"/>
      <c r="J354" s="38"/>
      <c r="K354" s="38"/>
      <c r="L354" s="36"/>
      <c r="M354" s="36" t="str">
        <f t="shared" si="48"/>
        <v>BELUM PO</v>
      </c>
      <c r="N354" s="36"/>
      <c r="O354" s="36" t="str">
        <f t="shared" si="49"/>
        <v>BELUM DATANG</v>
      </c>
      <c r="P354" s="36"/>
      <c r="Q354" s="37"/>
      <c r="R354" s="37">
        <f t="shared" si="51"/>
        <v>0</v>
      </c>
    </row>
    <row r="355">
      <c r="A355" s="33" t="s">
        <v>426</v>
      </c>
      <c r="B355" s="30" t="s">
        <v>30</v>
      </c>
      <c r="C355" s="48" t="s">
        <v>80</v>
      </c>
      <c r="D355" s="97" t="s">
        <v>427</v>
      </c>
      <c r="E355" s="38">
        <v>24.0</v>
      </c>
      <c r="F355" s="38" t="s">
        <v>10</v>
      </c>
      <c r="G355" s="38"/>
      <c r="H355" s="33">
        <v>24.0</v>
      </c>
      <c r="I355" s="33">
        <v>1.710004644E9</v>
      </c>
      <c r="J355" s="56">
        <v>46059.0</v>
      </c>
      <c r="K355" s="56">
        <v>46301.0</v>
      </c>
      <c r="L355" s="33">
        <v>7.100003986E9</v>
      </c>
      <c r="M355" s="38" t="str">
        <f t="shared" si="48"/>
        <v>SUDAH PO</v>
      </c>
      <c r="N355" s="56">
        <v>46301.0</v>
      </c>
      <c r="O355" s="38" t="str">
        <f t="shared" si="49"/>
        <v>BELUM DATANG</v>
      </c>
      <c r="P355" s="38"/>
      <c r="Q355" s="38"/>
      <c r="R355" s="38">
        <f t="shared" si="51"/>
        <v>-24</v>
      </c>
    </row>
    <row r="356">
      <c r="A356" s="111" t="s">
        <v>428</v>
      </c>
      <c r="B356" s="112" t="s">
        <v>30</v>
      </c>
      <c r="C356" s="113" t="s">
        <v>80</v>
      </c>
      <c r="D356" s="113" t="s">
        <v>300</v>
      </c>
      <c r="E356" s="111">
        <v>2.0</v>
      </c>
      <c r="F356" s="111" t="s">
        <v>10</v>
      </c>
      <c r="G356" s="32" t="s">
        <v>27</v>
      </c>
      <c r="H356" s="118">
        <v>2.0</v>
      </c>
      <c r="I356" s="135">
        <v>1.710004599E9</v>
      </c>
      <c r="J356" s="116" t="s">
        <v>64</v>
      </c>
      <c r="K356" s="116" t="s">
        <v>56</v>
      </c>
      <c r="L356" s="117"/>
      <c r="M356" s="117"/>
      <c r="N356" s="118"/>
      <c r="O356" s="119"/>
      <c r="P356" s="118"/>
      <c r="Q356" s="118"/>
      <c r="R356" s="118">
        <f t="shared" si="51"/>
        <v>-2</v>
      </c>
    </row>
    <row r="357">
      <c r="A357" s="111" t="s">
        <v>429</v>
      </c>
      <c r="B357" s="112" t="s">
        <v>30</v>
      </c>
      <c r="C357" s="113" t="s">
        <v>80</v>
      </c>
      <c r="D357" s="113" t="s">
        <v>302</v>
      </c>
      <c r="E357" s="111">
        <v>2.0</v>
      </c>
      <c r="F357" s="111" t="s">
        <v>10</v>
      </c>
      <c r="G357" s="120"/>
      <c r="H357" s="135">
        <v>2.0</v>
      </c>
      <c r="I357" s="135">
        <v>1.710004599E9</v>
      </c>
      <c r="J357" s="115" t="s">
        <v>64</v>
      </c>
      <c r="K357" s="116" t="s">
        <v>56</v>
      </c>
      <c r="L357" s="117"/>
      <c r="M357" s="117"/>
      <c r="N357" s="118"/>
      <c r="O357" s="119"/>
      <c r="P357" s="118"/>
      <c r="Q357" s="118"/>
      <c r="R357" s="118">
        <f t="shared" si="51"/>
        <v>-2</v>
      </c>
    </row>
    <row r="358">
      <c r="A358" s="38" t="s">
        <v>430</v>
      </c>
      <c r="B358" s="30" t="s">
        <v>30</v>
      </c>
      <c r="C358" s="48" t="s">
        <v>80</v>
      </c>
      <c r="D358" s="48" t="s">
        <v>364</v>
      </c>
      <c r="E358" s="38">
        <v>4.0</v>
      </c>
      <c r="F358" s="38" t="s">
        <v>10</v>
      </c>
      <c r="G358" s="37"/>
      <c r="H358" s="37">
        <v>4.0</v>
      </c>
      <c r="I358" s="53">
        <v>1.710004599E9</v>
      </c>
      <c r="J358" s="54" t="s">
        <v>64</v>
      </c>
      <c r="K358" s="58" t="s">
        <v>56</v>
      </c>
      <c r="L358" s="36"/>
      <c r="M358" s="36" t="str">
        <f t="shared" ref="M358:M391" si="52">IF(LEN(L358)=10,"SUDAH PO",IF(L358="STOK","READY STOK",IF(L358="PL","READY STOK","BELUM PO")))</f>
        <v>BELUM PO</v>
      </c>
      <c r="N358" s="37"/>
      <c r="O358" s="38" t="str">
        <f t="shared" ref="O358:O391" si="53">IF(H358="STOK","STOK",IF(ISBLANK(P358),"BELUM DATANG",IF(R358=0,"CLOSE","DATANG SEBAGIAN")))</f>
        <v>BELUM DATANG</v>
      </c>
      <c r="P358" s="37"/>
      <c r="Q358" s="37"/>
      <c r="R358" s="37">
        <f t="shared" si="51"/>
        <v>-4</v>
      </c>
    </row>
    <row r="359">
      <c r="A359" s="38" t="s">
        <v>431</v>
      </c>
      <c r="B359" s="30" t="s">
        <v>30</v>
      </c>
      <c r="C359" s="48" t="s">
        <v>94</v>
      </c>
      <c r="D359" s="48" t="s">
        <v>63</v>
      </c>
      <c r="E359" s="121">
        <v>45.0</v>
      </c>
      <c r="F359" s="38" t="s">
        <v>10</v>
      </c>
      <c r="G359" s="40" t="s">
        <v>86</v>
      </c>
      <c r="H359" s="33">
        <v>45.0</v>
      </c>
      <c r="I359" s="53">
        <v>1.710004543E9</v>
      </c>
      <c r="J359" s="54" t="s">
        <v>45</v>
      </c>
      <c r="K359" s="61">
        <v>46331.0</v>
      </c>
      <c r="L359" s="36">
        <v>7.1000039E9</v>
      </c>
      <c r="M359" s="36" t="str">
        <f t="shared" si="52"/>
        <v>SUDAH PO</v>
      </c>
      <c r="N359" s="33" t="s">
        <v>55</v>
      </c>
      <c r="O359" s="38" t="str">
        <f t="shared" si="53"/>
        <v>CLOSE</v>
      </c>
      <c r="P359" s="33" t="s">
        <v>64</v>
      </c>
      <c r="Q359" s="33">
        <v>45.0</v>
      </c>
      <c r="R359" s="37">
        <f t="shared" si="51"/>
        <v>0</v>
      </c>
    </row>
    <row r="360">
      <c r="A360" s="38" t="s">
        <v>432</v>
      </c>
      <c r="B360" s="30" t="s">
        <v>30</v>
      </c>
      <c r="C360" s="48" t="s">
        <v>307</v>
      </c>
      <c r="D360" s="48" t="s">
        <v>67</v>
      </c>
      <c r="E360" s="38">
        <v>26.0</v>
      </c>
      <c r="F360" s="38" t="s">
        <v>10</v>
      </c>
      <c r="G360" s="32" t="s">
        <v>71</v>
      </c>
      <c r="H360" s="37">
        <v>26.0</v>
      </c>
      <c r="I360" s="58">
        <v>1.710004599E9</v>
      </c>
      <c r="J360" s="34" t="s">
        <v>64</v>
      </c>
      <c r="K360" s="35">
        <v>46301.0</v>
      </c>
      <c r="L360" s="33">
        <v>7.100003974E9</v>
      </c>
      <c r="M360" s="36" t="str">
        <f t="shared" si="52"/>
        <v>SUDAH PO</v>
      </c>
      <c r="N360" s="33" t="s">
        <v>56</v>
      </c>
      <c r="O360" s="38" t="str">
        <f t="shared" si="53"/>
        <v>BELUM DATANG</v>
      </c>
      <c r="P360" s="37"/>
      <c r="Q360" s="37"/>
      <c r="R360" s="37">
        <f t="shared" si="51"/>
        <v>-26</v>
      </c>
    </row>
    <row r="361">
      <c r="A361" s="38" t="s">
        <v>433</v>
      </c>
      <c r="B361" s="30" t="s">
        <v>30</v>
      </c>
      <c r="C361" s="48" t="s">
        <v>368</v>
      </c>
      <c r="D361" s="48" t="s">
        <v>70</v>
      </c>
      <c r="E361" s="70">
        <v>2.0</v>
      </c>
      <c r="F361" s="38" t="s">
        <v>10</v>
      </c>
      <c r="G361" s="32" t="s">
        <v>71</v>
      </c>
      <c r="H361" s="70">
        <v>2.0</v>
      </c>
      <c r="I361" s="70">
        <v>1.710004543E9</v>
      </c>
      <c r="J361" s="58" t="s">
        <v>45</v>
      </c>
      <c r="K361" s="61">
        <v>46331.0</v>
      </c>
      <c r="L361" s="36">
        <v>7.1000039E9</v>
      </c>
      <c r="M361" s="36" t="str">
        <f t="shared" si="52"/>
        <v>SUDAH PO</v>
      </c>
      <c r="N361" s="37" t="s">
        <v>55</v>
      </c>
      <c r="O361" s="38" t="str">
        <f t="shared" si="53"/>
        <v>CLOSE</v>
      </c>
      <c r="P361" s="33" t="s">
        <v>64</v>
      </c>
      <c r="Q361" s="33">
        <v>2.0</v>
      </c>
      <c r="R361" s="70">
        <f t="shared" si="51"/>
        <v>0</v>
      </c>
    </row>
    <row r="362">
      <c r="A362" s="38" t="s">
        <v>434</v>
      </c>
      <c r="B362" s="30" t="s">
        <v>30</v>
      </c>
      <c r="C362" s="48" t="s">
        <v>100</v>
      </c>
      <c r="D362" s="48" t="s">
        <v>74</v>
      </c>
      <c r="E362" s="38">
        <v>87.0</v>
      </c>
      <c r="F362" s="38" t="s">
        <v>10</v>
      </c>
      <c r="G362" s="32" t="s">
        <v>71</v>
      </c>
      <c r="H362" s="37">
        <v>87.0</v>
      </c>
      <c r="I362" s="34">
        <v>1.710004543E9</v>
      </c>
      <c r="J362" s="34" t="s">
        <v>45</v>
      </c>
      <c r="K362" s="35">
        <v>46331.0</v>
      </c>
      <c r="L362" s="34">
        <v>7.1000039E9</v>
      </c>
      <c r="M362" s="36" t="str">
        <f t="shared" si="52"/>
        <v>SUDAH PO</v>
      </c>
      <c r="N362" s="33" t="s">
        <v>46</v>
      </c>
      <c r="O362" s="36" t="str">
        <f t="shared" si="53"/>
        <v>CLOSE</v>
      </c>
      <c r="P362" s="37" t="s">
        <v>64</v>
      </c>
      <c r="Q362" s="37">
        <v>87.0</v>
      </c>
      <c r="R362" s="37">
        <f t="shared" si="51"/>
        <v>0</v>
      </c>
    </row>
    <row r="363">
      <c r="A363" s="74"/>
      <c r="B363" s="30" t="s">
        <v>30</v>
      </c>
      <c r="C363" s="47" t="s">
        <v>104</v>
      </c>
      <c r="D363" s="47" t="s">
        <v>105</v>
      </c>
      <c r="E363" s="38">
        <v>286.0</v>
      </c>
      <c r="F363" s="38" t="s">
        <v>106</v>
      </c>
      <c r="G363" s="37"/>
      <c r="H363" s="37"/>
      <c r="I363" s="38"/>
      <c r="J363" s="36"/>
      <c r="K363" s="36"/>
      <c r="L363" s="36"/>
      <c r="M363" s="36" t="str">
        <f t="shared" si="52"/>
        <v>BELUM PO</v>
      </c>
      <c r="N363" s="36"/>
      <c r="O363" s="36" t="str">
        <f t="shared" si="53"/>
        <v>BELUM DATANG</v>
      </c>
      <c r="P363" s="36"/>
      <c r="Q363" s="37"/>
      <c r="R363" s="37"/>
    </row>
    <row r="364">
      <c r="A364" s="38" t="s">
        <v>435</v>
      </c>
      <c r="B364" s="30" t="s">
        <v>30</v>
      </c>
      <c r="C364" s="48" t="s">
        <v>108</v>
      </c>
      <c r="D364" s="48" t="s">
        <v>109</v>
      </c>
      <c r="E364" s="109">
        <v>1245.0</v>
      </c>
      <c r="F364" s="38" t="s">
        <v>110</v>
      </c>
      <c r="G364" s="32" t="s">
        <v>71</v>
      </c>
      <c r="H364" s="53">
        <v>1245.0</v>
      </c>
      <c r="I364" s="34">
        <v>1.710004543E9</v>
      </c>
      <c r="J364" s="35">
        <v>46208.0</v>
      </c>
      <c r="K364" s="35">
        <v>46301.0</v>
      </c>
      <c r="L364" s="33">
        <v>7.100003947E9</v>
      </c>
      <c r="M364" s="36" t="str">
        <f t="shared" si="52"/>
        <v>SUDAH PO</v>
      </c>
      <c r="N364" s="33" t="s">
        <v>78</v>
      </c>
      <c r="O364" s="36" t="str">
        <f t="shared" si="53"/>
        <v>BELUM DATANG</v>
      </c>
      <c r="P364" s="36"/>
      <c r="Q364" s="37"/>
      <c r="R364" s="37">
        <f t="shared" ref="R364:R389" si="54">Q364-H364</f>
        <v>-1245</v>
      </c>
    </row>
    <row r="365">
      <c r="A365" s="38" t="s">
        <v>111</v>
      </c>
      <c r="B365" s="30" t="s">
        <v>30</v>
      </c>
      <c r="C365" s="48" t="s">
        <v>112</v>
      </c>
      <c r="D365" s="48" t="s">
        <v>113</v>
      </c>
      <c r="E365" s="109">
        <v>1245.0</v>
      </c>
      <c r="F365" s="32" t="s">
        <v>110</v>
      </c>
      <c r="G365" s="32" t="s">
        <v>71</v>
      </c>
      <c r="H365" s="109">
        <v>1245.0</v>
      </c>
      <c r="I365" s="58">
        <v>1.710004599E9</v>
      </c>
      <c r="J365" s="58" t="s">
        <v>64</v>
      </c>
      <c r="K365" s="58" t="s">
        <v>56</v>
      </c>
      <c r="L365" s="36"/>
      <c r="M365" s="36" t="str">
        <f t="shared" si="52"/>
        <v>BELUM PO</v>
      </c>
      <c r="N365" s="36"/>
      <c r="O365" s="36" t="str">
        <f t="shared" si="53"/>
        <v>BELUM DATANG</v>
      </c>
      <c r="P365" s="36"/>
      <c r="Q365" s="37"/>
      <c r="R365" s="37">
        <f t="shared" si="54"/>
        <v>-1245</v>
      </c>
    </row>
    <row r="366">
      <c r="A366" s="38" t="s">
        <v>114</v>
      </c>
      <c r="B366" s="30" t="s">
        <v>30</v>
      </c>
      <c r="C366" s="48" t="s">
        <v>115</v>
      </c>
      <c r="D366" s="48" t="s">
        <v>116</v>
      </c>
      <c r="E366" s="32">
        <v>70.0</v>
      </c>
      <c r="F366" s="32" t="s">
        <v>117</v>
      </c>
      <c r="G366" s="32" t="s">
        <v>71</v>
      </c>
      <c r="H366" s="53">
        <v>70.0</v>
      </c>
      <c r="I366" s="38">
        <v>1.710004599E9</v>
      </c>
      <c r="J366" s="38" t="s">
        <v>64</v>
      </c>
      <c r="K366" s="56">
        <v>46301.0</v>
      </c>
      <c r="L366" s="33">
        <v>7.100003978E9</v>
      </c>
      <c r="M366" s="36" t="str">
        <f t="shared" si="52"/>
        <v>SUDAH PO</v>
      </c>
      <c r="N366" s="33" t="s">
        <v>78</v>
      </c>
      <c r="O366" s="36" t="str">
        <f t="shared" si="53"/>
        <v>BELUM DATANG</v>
      </c>
      <c r="P366" s="36"/>
      <c r="Q366" s="37"/>
      <c r="R366" s="37">
        <f t="shared" si="54"/>
        <v>-70</v>
      </c>
    </row>
    <row r="367">
      <c r="A367" s="38" t="s">
        <v>118</v>
      </c>
      <c r="B367" s="30" t="s">
        <v>30</v>
      </c>
      <c r="C367" s="48" t="s">
        <v>119</v>
      </c>
      <c r="D367" s="48" t="s">
        <v>120</v>
      </c>
      <c r="E367" s="32">
        <v>70.0</v>
      </c>
      <c r="F367" s="32" t="s">
        <v>117</v>
      </c>
      <c r="G367" s="32" t="s">
        <v>71</v>
      </c>
      <c r="H367" s="53">
        <v>70.0</v>
      </c>
      <c r="I367" s="58">
        <v>1.710004599E9</v>
      </c>
      <c r="J367" s="58" t="s">
        <v>64</v>
      </c>
      <c r="K367" s="35">
        <v>46301.0</v>
      </c>
      <c r="L367" s="33">
        <v>7.100003946E9</v>
      </c>
      <c r="M367" s="36" t="str">
        <f t="shared" si="52"/>
        <v>SUDAH PO</v>
      </c>
      <c r="N367" s="56">
        <v>46332.0</v>
      </c>
      <c r="O367" s="36" t="str">
        <f t="shared" si="53"/>
        <v>CLOSE</v>
      </c>
      <c r="P367" s="56">
        <v>46118.0</v>
      </c>
      <c r="Q367" s="33">
        <v>70.0</v>
      </c>
      <c r="R367" s="37">
        <f t="shared" si="54"/>
        <v>0</v>
      </c>
    </row>
    <row r="368">
      <c r="A368" s="75" t="s">
        <v>122</v>
      </c>
      <c r="B368" s="30" t="s">
        <v>30</v>
      </c>
      <c r="C368" s="76" t="s">
        <v>123</v>
      </c>
      <c r="D368" s="48" t="s">
        <v>124</v>
      </c>
      <c r="E368" s="32">
        <v>30.0</v>
      </c>
      <c r="F368" s="32" t="s">
        <v>10</v>
      </c>
      <c r="G368" s="32" t="s">
        <v>71</v>
      </c>
      <c r="H368" s="37">
        <v>30.0</v>
      </c>
      <c r="I368" s="58">
        <v>1.710004599E9</v>
      </c>
      <c r="J368" s="58" t="s">
        <v>64</v>
      </c>
      <c r="K368" s="35">
        <v>46301.0</v>
      </c>
      <c r="L368" s="33">
        <v>7.100003944E9</v>
      </c>
      <c r="M368" s="36" t="str">
        <f t="shared" si="52"/>
        <v>SUDAH PO</v>
      </c>
      <c r="N368" s="56">
        <v>46208.0</v>
      </c>
      <c r="O368" s="36" t="str">
        <f t="shared" si="53"/>
        <v>BELUM DATANG</v>
      </c>
      <c r="P368" s="36"/>
      <c r="Q368" s="37"/>
      <c r="R368" s="37">
        <f t="shared" si="54"/>
        <v>-30</v>
      </c>
    </row>
    <row r="369">
      <c r="A369" s="75" t="s">
        <v>125</v>
      </c>
      <c r="B369" s="30" t="s">
        <v>30</v>
      </c>
      <c r="C369" s="76" t="s">
        <v>126</v>
      </c>
      <c r="D369" s="48" t="s">
        <v>127</v>
      </c>
      <c r="E369" s="32">
        <v>30.0</v>
      </c>
      <c r="F369" s="32" t="s">
        <v>10</v>
      </c>
      <c r="G369" s="32" t="s">
        <v>71</v>
      </c>
      <c r="H369" s="37">
        <v>30.0</v>
      </c>
      <c r="I369" s="38">
        <v>1.710004599E9</v>
      </c>
      <c r="J369" s="58" t="s">
        <v>64</v>
      </c>
      <c r="K369" s="58" t="s">
        <v>56</v>
      </c>
      <c r="L369" s="33">
        <v>7.100003944E9</v>
      </c>
      <c r="M369" s="36" t="str">
        <f t="shared" si="52"/>
        <v>SUDAH PO</v>
      </c>
      <c r="N369" s="56">
        <v>46208.0</v>
      </c>
      <c r="O369" s="36" t="str">
        <f t="shared" si="53"/>
        <v>BELUM DATANG</v>
      </c>
      <c r="P369" s="36"/>
      <c r="Q369" s="37"/>
      <c r="R369" s="37">
        <f t="shared" si="54"/>
        <v>-30</v>
      </c>
    </row>
    <row r="370">
      <c r="A370" s="75" t="s">
        <v>129</v>
      </c>
      <c r="B370" s="30" t="s">
        <v>30</v>
      </c>
      <c r="C370" s="76" t="s">
        <v>130</v>
      </c>
      <c r="D370" s="48" t="s">
        <v>131</v>
      </c>
      <c r="E370" s="32">
        <v>40.0</v>
      </c>
      <c r="F370" s="32" t="s">
        <v>10</v>
      </c>
      <c r="G370" s="32" t="s">
        <v>71</v>
      </c>
      <c r="H370" s="37">
        <v>40.0</v>
      </c>
      <c r="I370" s="58">
        <v>1.710004599E9</v>
      </c>
      <c r="J370" s="58" t="s">
        <v>132</v>
      </c>
      <c r="K370" s="58" t="s">
        <v>56</v>
      </c>
      <c r="L370" s="33">
        <v>7.100003944E9</v>
      </c>
      <c r="M370" s="36" t="str">
        <f t="shared" si="52"/>
        <v>SUDAH PO</v>
      </c>
      <c r="N370" s="56">
        <v>46208.0</v>
      </c>
      <c r="O370" s="36" t="str">
        <f t="shared" si="53"/>
        <v>BELUM DATANG</v>
      </c>
      <c r="P370" s="36"/>
      <c r="Q370" s="37"/>
      <c r="R370" s="37">
        <f t="shared" si="54"/>
        <v>-40</v>
      </c>
    </row>
    <row r="371">
      <c r="A371" s="75" t="s">
        <v>133</v>
      </c>
      <c r="B371" s="30" t="s">
        <v>30</v>
      </c>
      <c r="C371" s="76" t="s">
        <v>134</v>
      </c>
      <c r="D371" s="48" t="s">
        <v>135</v>
      </c>
      <c r="E371" s="38">
        <v>80.0</v>
      </c>
      <c r="F371" s="38" t="s">
        <v>10</v>
      </c>
      <c r="G371" s="37"/>
      <c r="H371" s="53">
        <v>80.0</v>
      </c>
      <c r="I371" s="58">
        <v>1.710004591E9</v>
      </c>
      <c r="J371" s="58" t="s">
        <v>136</v>
      </c>
      <c r="K371" s="38"/>
      <c r="L371" s="36"/>
      <c r="M371" s="36" t="str">
        <f t="shared" si="52"/>
        <v>BELUM PO</v>
      </c>
      <c r="N371" s="36"/>
      <c r="O371" s="36" t="str">
        <f t="shared" si="53"/>
        <v>BELUM DATANG</v>
      </c>
      <c r="P371" s="36"/>
      <c r="Q371" s="37"/>
      <c r="R371" s="37">
        <f t="shared" si="54"/>
        <v>-80</v>
      </c>
    </row>
    <row r="372">
      <c r="A372" s="74"/>
      <c r="B372" s="30" t="s">
        <v>30</v>
      </c>
      <c r="C372" s="47" t="s">
        <v>137</v>
      </c>
      <c r="D372" s="47" t="s">
        <v>138</v>
      </c>
      <c r="E372" s="70">
        <v>196.0</v>
      </c>
      <c r="F372" s="38" t="s">
        <v>106</v>
      </c>
      <c r="G372" s="38"/>
      <c r="H372" s="38"/>
      <c r="I372" s="38"/>
      <c r="J372" s="38"/>
      <c r="K372" s="38"/>
      <c r="L372" s="38"/>
      <c r="M372" s="38" t="str">
        <f t="shared" si="52"/>
        <v>BELUM PO</v>
      </c>
      <c r="N372" s="38"/>
      <c r="O372" s="38" t="str">
        <f t="shared" si="53"/>
        <v>BELUM DATANG</v>
      </c>
      <c r="P372" s="38"/>
      <c r="Q372" s="38"/>
      <c r="R372" s="38">
        <f t="shared" si="54"/>
        <v>0</v>
      </c>
    </row>
    <row r="373">
      <c r="A373" s="38" t="s">
        <v>436</v>
      </c>
      <c r="B373" s="30" t="s">
        <v>30</v>
      </c>
      <c r="C373" s="72" t="s">
        <v>140</v>
      </c>
      <c r="D373" s="72" t="s">
        <v>109</v>
      </c>
      <c r="E373" s="122">
        <v>0.0</v>
      </c>
      <c r="F373" s="123" t="s">
        <v>110</v>
      </c>
      <c r="G373" s="32" t="s">
        <v>71</v>
      </c>
      <c r="H373" s="101"/>
      <c r="I373" s="49"/>
      <c r="J373" s="50"/>
      <c r="K373" s="50"/>
      <c r="L373" s="51"/>
      <c r="M373" s="51" t="str">
        <f t="shared" si="52"/>
        <v>BELUM PO</v>
      </c>
      <c r="N373" s="49"/>
      <c r="O373" s="50" t="str">
        <f t="shared" si="53"/>
        <v>BELUM DATANG</v>
      </c>
      <c r="P373" s="49"/>
      <c r="Q373" s="49"/>
      <c r="R373" s="101">
        <f t="shared" si="54"/>
        <v>0</v>
      </c>
    </row>
    <row r="374">
      <c r="A374" s="38" t="s">
        <v>111</v>
      </c>
      <c r="B374" s="30" t="s">
        <v>30</v>
      </c>
      <c r="C374" s="72" t="s">
        <v>112</v>
      </c>
      <c r="D374" s="72" t="s">
        <v>141</v>
      </c>
      <c r="E374" s="122">
        <v>3136.0</v>
      </c>
      <c r="F374" s="122" t="s">
        <v>110</v>
      </c>
      <c r="G374" s="32" t="s">
        <v>71</v>
      </c>
      <c r="H374" s="136">
        <v>3136.0</v>
      </c>
      <c r="I374" s="49"/>
      <c r="J374" s="101"/>
      <c r="K374" s="50"/>
      <c r="L374" s="51"/>
      <c r="M374" s="51" t="str">
        <f t="shared" si="52"/>
        <v>BELUM PO</v>
      </c>
      <c r="N374" s="49"/>
      <c r="O374" s="50" t="str">
        <f t="shared" si="53"/>
        <v>BELUM DATANG</v>
      </c>
      <c r="P374" s="49"/>
      <c r="Q374" s="49"/>
      <c r="R374" s="101">
        <f t="shared" si="54"/>
        <v>-3136</v>
      </c>
    </row>
    <row r="375">
      <c r="A375" s="38" t="s">
        <v>114</v>
      </c>
      <c r="B375" s="30" t="s">
        <v>30</v>
      </c>
      <c r="C375" s="48" t="s">
        <v>115</v>
      </c>
      <c r="D375" s="48" t="s">
        <v>116</v>
      </c>
      <c r="E375" s="32">
        <v>90.0</v>
      </c>
      <c r="F375" s="32" t="s">
        <v>117</v>
      </c>
      <c r="G375" s="32" t="s">
        <v>71</v>
      </c>
      <c r="H375" s="54">
        <v>90.0</v>
      </c>
      <c r="I375" s="37">
        <v>1.710004599E9</v>
      </c>
      <c r="J375" s="70" t="s">
        <v>64</v>
      </c>
      <c r="K375" s="56">
        <v>46301.0</v>
      </c>
      <c r="L375" s="33">
        <v>7.100003978E9</v>
      </c>
      <c r="M375" s="36" t="str">
        <f t="shared" si="52"/>
        <v>SUDAH PO</v>
      </c>
      <c r="N375" s="33" t="s">
        <v>78</v>
      </c>
      <c r="O375" s="38" t="str">
        <f t="shared" si="53"/>
        <v>BELUM DATANG</v>
      </c>
      <c r="P375" s="37"/>
      <c r="Q375" s="37"/>
      <c r="R375" s="70">
        <f t="shared" si="54"/>
        <v>-90</v>
      </c>
    </row>
    <row r="376">
      <c r="A376" s="38" t="s">
        <v>118</v>
      </c>
      <c r="B376" s="30" t="s">
        <v>30</v>
      </c>
      <c r="C376" s="48" t="s">
        <v>119</v>
      </c>
      <c r="D376" s="48" t="s">
        <v>142</v>
      </c>
      <c r="E376" s="32">
        <v>87.0</v>
      </c>
      <c r="F376" s="32" t="s">
        <v>117</v>
      </c>
      <c r="G376" s="32" t="s">
        <v>71</v>
      </c>
      <c r="H376" s="70">
        <v>87.0</v>
      </c>
      <c r="I376" s="53">
        <v>1.710004599E9</v>
      </c>
      <c r="J376" s="58" t="s">
        <v>64</v>
      </c>
      <c r="K376" s="35">
        <v>46301.0</v>
      </c>
      <c r="L376" s="33">
        <v>7.100003946E9</v>
      </c>
      <c r="M376" s="36" t="str">
        <f t="shared" si="52"/>
        <v>SUDAH PO</v>
      </c>
      <c r="N376" s="56">
        <v>46332.0</v>
      </c>
      <c r="O376" s="38" t="str">
        <f t="shared" si="53"/>
        <v>CLOSE</v>
      </c>
      <c r="P376" s="56">
        <v>46118.0</v>
      </c>
      <c r="Q376" s="33">
        <v>87.0</v>
      </c>
      <c r="R376" s="70">
        <f t="shared" si="54"/>
        <v>0</v>
      </c>
    </row>
    <row r="377">
      <c r="A377" s="74"/>
      <c r="B377" s="30" t="s">
        <v>30</v>
      </c>
      <c r="C377" s="47" t="s">
        <v>144</v>
      </c>
      <c r="D377" s="47" t="s">
        <v>105</v>
      </c>
      <c r="E377" s="38">
        <v>332.0</v>
      </c>
      <c r="F377" s="38" t="s">
        <v>106</v>
      </c>
      <c r="G377" s="37"/>
      <c r="H377" s="70"/>
      <c r="I377" s="37"/>
      <c r="J377" s="38"/>
      <c r="K377" s="38"/>
      <c r="L377" s="36"/>
      <c r="M377" s="36" t="str">
        <f t="shared" si="52"/>
        <v>BELUM PO</v>
      </c>
      <c r="N377" s="37"/>
      <c r="O377" s="38" t="str">
        <f t="shared" si="53"/>
        <v>BELUM DATANG</v>
      </c>
      <c r="P377" s="37"/>
      <c r="Q377" s="37"/>
      <c r="R377" s="70">
        <f t="shared" si="54"/>
        <v>0</v>
      </c>
    </row>
    <row r="378">
      <c r="A378" s="38" t="s">
        <v>437</v>
      </c>
      <c r="B378" s="30" t="s">
        <v>30</v>
      </c>
      <c r="C378" s="48" t="s">
        <v>108</v>
      </c>
      <c r="D378" s="48" t="s">
        <v>109</v>
      </c>
      <c r="E378" s="59">
        <v>1295.0</v>
      </c>
      <c r="F378" s="38" t="s">
        <v>110</v>
      </c>
      <c r="G378" s="32" t="s">
        <v>71</v>
      </c>
      <c r="H378" s="54">
        <v>1295.0</v>
      </c>
      <c r="I378" s="34">
        <v>1.710004543E9</v>
      </c>
      <c r="J378" s="35">
        <v>46208.0</v>
      </c>
      <c r="K378" s="35">
        <v>46301.0</v>
      </c>
      <c r="L378" s="33">
        <v>7.100003947E9</v>
      </c>
      <c r="M378" s="36" t="str">
        <f t="shared" si="52"/>
        <v>SUDAH PO</v>
      </c>
      <c r="N378" s="56">
        <v>45966.0</v>
      </c>
      <c r="O378" s="38" t="str">
        <f t="shared" si="53"/>
        <v>BELUM DATANG</v>
      </c>
      <c r="P378" s="37"/>
      <c r="Q378" s="37"/>
      <c r="R378" s="70">
        <f t="shared" si="54"/>
        <v>-1295</v>
      </c>
    </row>
    <row r="379">
      <c r="A379" s="37" t="s">
        <v>111</v>
      </c>
      <c r="B379" s="30" t="s">
        <v>30</v>
      </c>
      <c r="C379" s="48" t="s">
        <v>112</v>
      </c>
      <c r="D379" s="48" t="s">
        <v>113</v>
      </c>
      <c r="E379" s="32">
        <v>1295.0</v>
      </c>
      <c r="F379" s="124" t="s">
        <v>110</v>
      </c>
      <c r="G379" s="32" t="s">
        <v>71</v>
      </c>
      <c r="H379" s="32">
        <v>1295.0</v>
      </c>
      <c r="I379" s="53">
        <v>1.710004599E9</v>
      </c>
      <c r="J379" s="53" t="s">
        <v>64</v>
      </c>
      <c r="K379" s="53" t="s">
        <v>56</v>
      </c>
      <c r="L379" s="36"/>
      <c r="M379" s="36" t="str">
        <f t="shared" si="52"/>
        <v>BELUM PO</v>
      </c>
      <c r="N379" s="37"/>
      <c r="O379" s="38" t="str">
        <f t="shared" si="53"/>
        <v>BELUM DATANG</v>
      </c>
      <c r="P379" s="37"/>
      <c r="Q379" s="37"/>
      <c r="R379" s="37">
        <f t="shared" si="54"/>
        <v>-1295</v>
      </c>
    </row>
    <row r="380">
      <c r="A380" s="38" t="s">
        <v>114</v>
      </c>
      <c r="B380" s="30" t="s">
        <v>30</v>
      </c>
      <c r="C380" s="48" t="s">
        <v>115</v>
      </c>
      <c r="D380" s="48" t="s">
        <v>116</v>
      </c>
      <c r="E380" s="32">
        <v>71.0</v>
      </c>
      <c r="F380" s="32" t="s">
        <v>117</v>
      </c>
      <c r="G380" s="32" t="s">
        <v>71</v>
      </c>
      <c r="H380" s="53">
        <v>71.0</v>
      </c>
      <c r="I380" s="38">
        <v>1.710004599E9</v>
      </c>
      <c r="J380" s="38" t="s">
        <v>64</v>
      </c>
      <c r="K380" s="56">
        <v>46301.0</v>
      </c>
      <c r="L380" s="33">
        <v>7.100003978E9</v>
      </c>
      <c r="M380" s="36" t="str">
        <f t="shared" si="52"/>
        <v>SUDAH PO</v>
      </c>
      <c r="N380" s="33" t="s">
        <v>78</v>
      </c>
      <c r="O380" s="36" t="str">
        <f t="shared" si="53"/>
        <v>BELUM DATANG</v>
      </c>
      <c r="P380" s="36"/>
      <c r="Q380" s="37"/>
      <c r="R380" s="37">
        <f t="shared" si="54"/>
        <v>-71</v>
      </c>
    </row>
    <row r="381">
      <c r="A381" s="38" t="s">
        <v>118</v>
      </c>
      <c r="B381" s="30" t="s">
        <v>30</v>
      </c>
      <c r="C381" s="48" t="s">
        <v>119</v>
      </c>
      <c r="D381" s="48" t="s">
        <v>120</v>
      </c>
      <c r="E381" s="59">
        <v>71.0</v>
      </c>
      <c r="F381" s="32" t="s">
        <v>117</v>
      </c>
      <c r="G381" s="32" t="s">
        <v>71</v>
      </c>
      <c r="H381" s="53">
        <v>71.0</v>
      </c>
      <c r="I381" s="58">
        <v>1.710004599E9</v>
      </c>
      <c r="J381" s="58" t="s">
        <v>64</v>
      </c>
      <c r="K381" s="35">
        <v>46301.0</v>
      </c>
      <c r="L381" s="33">
        <v>7.100003946E9</v>
      </c>
      <c r="M381" s="36" t="str">
        <f t="shared" si="52"/>
        <v>SUDAH PO</v>
      </c>
      <c r="N381" s="56">
        <v>46332.0</v>
      </c>
      <c r="O381" s="36" t="str">
        <f t="shared" si="53"/>
        <v>CLOSE</v>
      </c>
      <c r="P381" s="56">
        <v>46118.0</v>
      </c>
      <c r="Q381" s="33">
        <v>71.0</v>
      </c>
      <c r="R381" s="37">
        <f t="shared" si="54"/>
        <v>0</v>
      </c>
    </row>
    <row r="382">
      <c r="A382" s="75" t="s">
        <v>122</v>
      </c>
      <c r="B382" s="30" t="s">
        <v>30</v>
      </c>
      <c r="C382" s="76" t="s">
        <v>123</v>
      </c>
      <c r="D382" s="48" t="s">
        <v>124</v>
      </c>
      <c r="E382" s="32">
        <v>150.0</v>
      </c>
      <c r="F382" s="32" t="s">
        <v>10</v>
      </c>
      <c r="G382" s="32" t="s">
        <v>71</v>
      </c>
      <c r="H382" s="37">
        <v>150.0</v>
      </c>
      <c r="I382" s="58">
        <v>1.710004579E9</v>
      </c>
      <c r="J382" s="61">
        <v>46208.0</v>
      </c>
      <c r="K382" s="33" t="s">
        <v>46</v>
      </c>
      <c r="L382" s="33">
        <v>7.100003944E9</v>
      </c>
      <c r="M382" s="36" t="str">
        <f t="shared" si="52"/>
        <v>SUDAH PO</v>
      </c>
      <c r="N382" s="56">
        <v>46208.0</v>
      </c>
      <c r="O382" s="36" t="str">
        <f t="shared" si="53"/>
        <v>BELUM DATANG</v>
      </c>
      <c r="P382" s="36"/>
      <c r="Q382" s="37"/>
      <c r="R382" s="37">
        <f t="shared" si="54"/>
        <v>-150</v>
      </c>
    </row>
    <row r="383">
      <c r="A383" s="74"/>
      <c r="B383" s="30" t="s">
        <v>30</v>
      </c>
      <c r="C383" s="47" t="s">
        <v>147</v>
      </c>
      <c r="D383" s="47" t="s">
        <v>138</v>
      </c>
      <c r="E383" s="38">
        <v>194.0</v>
      </c>
      <c r="F383" s="38" t="s">
        <v>106</v>
      </c>
      <c r="G383" s="37"/>
      <c r="H383" s="37"/>
      <c r="I383" s="38"/>
      <c r="J383" s="38"/>
      <c r="K383" s="38"/>
      <c r="L383" s="36"/>
      <c r="M383" s="36" t="str">
        <f t="shared" si="52"/>
        <v>BELUM PO</v>
      </c>
      <c r="N383" s="36"/>
      <c r="O383" s="36" t="str">
        <f t="shared" si="53"/>
        <v>BELUM DATANG</v>
      </c>
      <c r="P383" s="36"/>
      <c r="Q383" s="37"/>
      <c r="R383" s="37">
        <f t="shared" si="54"/>
        <v>0</v>
      </c>
    </row>
    <row r="384">
      <c r="A384" s="38" t="s">
        <v>438</v>
      </c>
      <c r="B384" s="30" t="s">
        <v>30</v>
      </c>
      <c r="C384" s="72" t="s">
        <v>140</v>
      </c>
      <c r="D384" s="72" t="s">
        <v>109</v>
      </c>
      <c r="E384" s="122">
        <v>0.0</v>
      </c>
      <c r="F384" s="123" t="s">
        <v>110</v>
      </c>
      <c r="G384" s="32" t="s">
        <v>71</v>
      </c>
      <c r="H384" s="49"/>
      <c r="I384" s="50"/>
      <c r="J384" s="50"/>
      <c r="K384" s="95"/>
      <c r="L384" s="51"/>
      <c r="M384" s="51" t="str">
        <f t="shared" si="52"/>
        <v>BELUM PO</v>
      </c>
      <c r="N384" s="51"/>
      <c r="O384" s="51" t="str">
        <f t="shared" si="53"/>
        <v>BELUM DATANG</v>
      </c>
      <c r="P384" s="51"/>
      <c r="Q384" s="49"/>
      <c r="R384" s="49">
        <f t="shared" si="54"/>
        <v>0</v>
      </c>
    </row>
    <row r="385">
      <c r="A385" s="38" t="s">
        <v>111</v>
      </c>
      <c r="B385" s="30" t="s">
        <v>30</v>
      </c>
      <c r="C385" s="72" t="s">
        <v>112</v>
      </c>
      <c r="D385" s="72" t="s">
        <v>141</v>
      </c>
      <c r="E385" s="122">
        <v>3104.0</v>
      </c>
      <c r="F385" s="122" t="s">
        <v>110</v>
      </c>
      <c r="G385" s="32" t="s">
        <v>71</v>
      </c>
      <c r="H385" s="122">
        <v>3104.0</v>
      </c>
      <c r="I385" s="50"/>
      <c r="J385" s="50"/>
      <c r="K385" s="50"/>
      <c r="L385" s="51"/>
      <c r="M385" s="51" t="str">
        <f t="shared" si="52"/>
        <v>BELUM PO</v>
      </c>
      <c r="N385" s="51"/>
      <c r="O385" s="51" t="str">
        <f t="shared" si="53"/>
        <v>BELUM DATANG</v>
      </c>
      <c r="P385" s="51"/>
      <c r="Q385" s="49"/>
      <c r="R385" s="49">
        <f t="shared" si="54"/>
        <v>-3104</v>
      </c>
    </row>
    <row r="386">
      <c r="A386" s="38" t="s">
        <v>114</v>
      </c>
      <c r="B386" s="30" t="s">
        <v>30</v>
      </c>
      <c r="C386" s="48" t="s">
        <v>115</v>
      </c>
      <c r="D386" s="48" t="s">
        <v>116</v>
      </c>
      <c r="E386" s="32">
        <v>90.0</v>
      </c>
      <c r="F386" s="32" t="s">
        <v>117</v>
      </c>
      <c r="G386" s="32" t="s">
        <v>71</v>
      </c>
      <c r="H386" s="37">
        <v>90.0</v>
      </c>
      <c r="I386" s="38">
        <v>1.710004599E9</v>
      </c>
      <c r="J386" s="38" t="s">
        <v>64</v>
      </c>
      <c r="K386" s="56">
        <v>46301.0</v>
      </c>
      <c r="L386" s="33">
        <v>7.100003978E9</v>
      </c>
      <c r="M386" s="36" t="str">
        <f t="shared" si="52"/>
        <v>SUDAH PO</v>
      </c>
      <c r="N386" s="33" t="s">
        <v>78</v>
      </c>
      <c r="O386" s="36" t="str">
        <f t="shared" si="53"/>
        <v>BELUM DATANG</v>
      </c>
      <c r="P386" s="36"/>
      <c r="Q386" s="37"/>
      <c r="R386" s="37">
        <f t="shared" si="54"/>
        <v>-90</v>
      </c>
    </row>
    <row r="387">
      <c r="A387" s="38" t="s">
        <v>118</v>
      </c>
      <c r="B387" s="30" t="s">
        <v>30</v>
      </c>
      <c r="C387" s="48" t="s">
        <v>119</v>
      </c>
      <c r="D387" s="48" t="s">
        <v>142</v>
      </c>
      <c r="E387" s="32">
        <v>87.0</v>
      </c>
      <c r="F387" s="32" t="s">
        <v>117</v>
      </c>
      <c r="G387" s="32" t="s">
        <v>71</v>
      </c>
      <c r="H387" s="37">
        <v>87.0</v>
      </c>
      <c r="I387" s="58">
        <v>1.710004599E9</v>
      </c>
      <c r="J387" s="58" t="s">
        <v>64</v>
      </c>
      <c r="K387" s="35">
        <v>46301.0</v>
      </c>
      <c r="L387" s="33">
        <v>7.100003946E9</v>
      </c>
      <c r="M387" s="36" t="str">
        <f t="shared" si="52"/>
        <v>SUDAH PO</v>
      </c>
      <c r="N387" s="56">
        <v>46332.0</v>
      </c>
      <c r="O387" s="36" t="str">
        <f t="shared" si="53"/>
        <v>CLOSE</v>
      </c>
      <c r="P387" s="56">
        <v>46118.0</v>
      </c>
      <c r="Q387" s="33">
        <v>87.0</v>
      </c>
      <c r="R387" s="37">
        <f t="shared" si="54"/>
        <v>0</v>
      </c>
    </row>
    <row r="388">
      <c r="A388" s="75" t="s">
        <v>150</v>
      </c>
      <c r="B388" s="30" t="s">
        <v>30</v>
      </c>
      <c r="C388" s="48" t="s">
        <v>151</v>
      </c>
      <c r="D388" s="48" t="s">
        <v>152</v>
      </c>
      <c r="E388" s="38">
        <v>88.0</v>
      </c>
      <c r="F388" s="38" t="s">
        <v>44</v>
      </c>
      <c r="G388" s="37"/>
      <c r="H388" s="81">
        <f t="shared" ref="H388:H389" si="55">E388/2.4</f>
        <v>36.66666667</v>
      </c>
      <c r="I388" s="58">
        <v>1.710004543E9</v>
      </c>
      <c r="J388" s="58" t="s">
        <v>45</v>
      </c>
      <c r="K388" s="55">
        <v>46331.0</v>
      </c>
      <c r="L388" s="33">
        <v>7.100003899E9</v>
      </c>
      <c r="M388" s="36" t="str">
        <f t="shared" si="52"/>
        <v>SUDAH PO</v>
      </c>
      <c r="N388" s="33" t="s">
        <v>153</v>
      </c>
      <c r="O388" s="36" t="str">
        <f t="shared" si="53"/>
        <v>DATANG SEBAGIAN</v>
      </c>
      <c r="P388" s="56">
        <v>46239.0</v>
      </c>
      <c r="Q388" s="33">
        <v>37.0</v>
      </c>
      <c r="R388" s="70">
        <f t="shared" si="54"/>
        <v>0.3333333333</v>
      </c>
    </row>
    <row r="389">
      <c r="A389" s="38" t="s">
        <v>150</v>
      </c>
      <c r="B389" s="30" t="s">
        <v>30</v>
      </c>
      <c r="C389" s="48" t="s">
        <v>154</v>
      </c>
      <c r="D389" s="48" t="s">
        <v>152</v>
      </c>
      <c r="E389" s="38">
        <v>88.0</v>
      </c>
      <c r="F389" s="38" t="s">
        <v>44</v>
      </c>
      <c r="G389" s="37"/>
      <c r="H389" s="81">
        <f t="shared" si="55"/>
        <v>36.66666667</v>
      </c>
      <c r="I389" s="58">
        <v>1.710004543E9</v>
      </c>
      <c r="J389" s="58" t="s">
        <v>45</v>
      </c>
      <c r="K389" s="55">
        <v>46331.0</v>
      </c>
      <c r="L389" s="33">
        <v>7.100003899E9</v>
      </c>
      <c r="M389" s="36" t="str">
        <f t="shared" si="52"/>
        <v>SUDAH PO</v>
      </c>
      <c r="N389" s="33" t="s">
        <v>153</v>
      </c>
      <c r="O389" s="36" t="str">
        <f t="shared" si="53"/>
        <v>DATANG SEBAGIAN</v>
      </c>
      <c r="P389" s="56">
        <v>46239.0</v>
      </c>
      <c r="Q389" s="33">
        <v>37.0</v>
      </c>
      <c r="R389" s="70">
        <f t="shared" si="54"/>
        <v>0.3333333333</v>
      </c>
    </row>
    <row r="390">
      <c r="A390" s="82" t="s">
        <v>155</v>
      </c>
      <c r="B390" s="30" t="s">
        <v>30</v>
      </c>
      <c r="C390" s="48" t="s">
        <v>156</v>
      </c>
      <c r="D390" s="48" t="s">
        <v>157</v>
      </c>
      <c r="E390" s="38">
        <v>38.0</v>
      </c>
      <c r="F390" s="38" t="s">
        <v>10</v>
      </c>
      <c r="G390" s="38"/>
      <c r="H390" s="83" t="s">
        <v>158</v>
      </c>
      <c r="I390" s="38"/>
      <c r="J390" s="36"/>
      <c r="K390" s="36"/>
      <c r="L390" s="33" t="s">
        <v>159</v>
      </c>
      <c r="M390" s="38" t="str">
        <f t="shared" si="52"/>
        <v>READY STOK</v>
      </c>
      <c r="N390" s="38"/>
      <c r="O390" s="38" t="str">
        <f t="shared" si="53"/>
        <v>BELUM DATANG</v>
      </c>
      <c r="P390" s="38"/>
      <c r="Q390" s="38"/>
      <c r="R390" s="38">
        <f>Q390-G390</f>
        <v>0</v>
      </c>
    </row>
    <row r="391">
      <c r="A391" s="57" t="s">
        <v>439</v>
      </c>
      <c r="B391" s="30" t="s">
        <v>30</v>
      </c>
      <c r="C391" s="84" t="s">
        <v>440</v>
      </c>
      <c r="D391" s="48" t="s">
        <v>162</v>
      </c>
      <c r="E391" s="127">
        <v>1.0</v>
      </c>
      <c r="F391" s="57" t="s">
        <v>163</v>
      </c>
      <c r="G391" s="85" t="s">
        <v>71</v>
      </c>
      <c r="H391" s="137">
        <v>1.0</v>
      </c>
      <c r="I391" s="85">
        <v>1.710004599E9</v>
      </c>
      <c r="J391" s="57" t="s">
        <v>64</v>
      </c>
      <c r="K391" s="87">
        <v>46301.0</v>
      </c>
      <c r="L391" s="86"/>
      <c r="M391" s="86" t="str">
        <f t="shared" si="52"/>
        <v>BELUM PO</v>
      </c>
      <c r="N391" s="85"/>
      <c r="O391" s="88" t="str">
        <f t="shared" si="53"/>
        <v>BELUM DATANG</v>
      </c>
      <c r="P391" s="85"/>
      <c r="Q391" s="85"/>
      <c r="R391" s="137">
        <f>Q391-H391</f>
        <v>-1</v>
      </c>
    </row>
    <row r="392">
      <c r="A392" s="89"/>
      <c r="B392" s="30" t="s">
        <v>30</v>
      </c>
      <c r="C392" s="89"/>
      <c r="D392" s="48" t="s">
        <v>164</v>
      </c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</row>
    <row r="393">
      <c r="A393" s="89"/>
      <c r="B393" s="30" t="s">
        <v>30</v>
      </c>
      <c r="C393" s="89"/>
      <c r="D393" s="48" t="s">
        <v>319</v>
      </c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</row>
    <row r="394">
      <c r="A394" s="89"/>
      <c r="B394" s="30" t="s">
        <v>30</v>
      </c>
      <c r="C394" s="89"/>
      <c r="D394" s="48" t="s">
        <v>166</v>
      </c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</row>
    <row r="395">
      <c r="A395" s="89"/>
      <c r="B395" s="30" t="s">
        <v>30</v>
      </c>
      <c r="C395" s="89"/>
      <c r="D395" s="48" t="s">
        <v>167</v>
      </c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</row>
    <row r="396">
      <c r="A396" s="89"/>
      <c r="B396" s="30" t="s">
        <v>30</v>
      </c>
      <c r="C396" s="89"/>
      <c r="D396" s="48" t="s">
        <v>168</v>
      </c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</row>
    <row r="397">
      <c r="A397" s="89"/>
      <c r="B397" s="30" t="s">
        <v>30</v>
      </c>
      <c r="C397" s="89"/>
      <c r="D397" s="48" t="s">
        <v>169</v>
      </c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</row>
    <row r="398">
      <c r="A398" s="89"/>
      <c r="B398" s="30" t="s">
        <v>30</v>
      </c>
      <c r="C398" s="89"/>
      <c r="D398" s="48" t="s">
        <v>170</v>
      </c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</row>
    <row r="399">
      <c r="A399" s="89"/>
      <c r="B399" s="30" t="s">
        <v>30</v>
      </c>
      <c r="C399" s="89"/>
      <c r="D399" s="48" t="s">
        <v>171</v>
      </c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</row>
    <row r="400">
      <c r="A400" s="18"/>
      <c r="B400" s="30" t="s">
        <v>30</v>
      </c>
      <c r="C400" s="18"/>
      <c r="D400" s="48" t="s">
        <v>172</v>
      </c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>
      <c r="A401" s="41"/>
      <c r="B401" s="42"/>
      <c r="C401" s="42"/>
      <c r="D401" s="42"/>
      <c r="E401" s="42"/>
      <c r="F401" s="42"/>
      <c r="G401" s="43"/>
      <c r="H401" s="44"/>
      <c r="I401" s="24"/>
      <c r="J401" s="24"/>
      <c r="K401" s="24"/>
      <c r="L401" s="25"/>
      <c r="M401" s="25"/>
      <c r="N401" s="25"/>
      <c r="O401" s="25"/>
      <c r="P401" s="25"/>
      <c r="Q401" s="44"/>
      <c r="R401" s="44"/>
    </row>
    <row r="402">
      <c r="A402" s="74"/>
      <c r="B402" s="30" t="s">
        <v>31</v>
      </c>
      <c r="C402" s="47" t="s">
        <v>105</v>
      </c>
      <c r="D402" s="47" t="s">
        <v>105</v>
      </c>
      <c r="E402" s="38">
        <v>64.0</v>
      </c>
      <c r="F402" s="38" t="s">
        <v>106</v>
      </c>
      <c r="G402" s="37"/>
      <c r="H402" s="37"/>
      <c r="I402" s="38"/>
      <c r="J402" s="36"/>
      <c r="K402" s="36"/>
      <c r="L402" s="36"/>
      <c r="M402" s="36" t="str">
        <f t="shared" ref="M402:M418" si="56">IF(LEN(L402)=10,"SUDAH PO",IF(L402="STOK","READY STOK",IF(L402="PL","READY STOK","BELUM PO")))</f>
        <v>BELUM PO</v>
      </c>
      <c r="N402" s="36"/>
      <c r="O402" s="36" t="str">
        <f t="shared" ref="O402:O418" si="57">IF(H402="STOK","STOK",IF(ISBLANK(P402),"BELUM DATANG",IF(R402=0,"CLOSE","DATANG SEBAGIAN")))</f>
        <v>BELUM DATANG</v>
      </c>
      <c r="P402" s="36"/>
      <c r="Q402" s="37"/>
      <c r="R402" s="37"/>
    </row>
    <row r="403">
      <c r="A403" s="38" t="s">
        <v>441</v>
      </c>
      <c r="B403" s="30" t="s">
        <v>31</v>
      </c>
      <c r="C403" s="48" t="s">
        <v>108</v>
      </c>
      <c r="D403" s="48" t="s">
        <v>109</v>
      </c>
      <c r="E403" s="32">
        <v>1393.0</v>
      </c>
      <c r="F403" s="38" t="s">
        <v>110</v>
      </c>
      <c r="G403" s="32" t="s">
        <v>71</v>
      </c>
      <c r="H403" s="53">
        <v>1393.0</v>
      </c>
      <c r="I403" s="34">
        <v>1.710004543E9</v>
      </c>
      <c r="J403" s="35">
        <v>46208.0</v>
      </c>
      <c r="K403" s="35">
        <v>46301.0</v>
      </c>
      <c r="L403" s="33">
        <v>7.100003947E9</v>
      </c>
      <c r="M403" s="36" t="str">
        <f t="shared" si="56"/>
        <v>SUDAH PO</v>
      </c>
      <c r="N403" s="56">
        <v>45966.0</v>
      </c>
      <c r="O403" s="36" t="str">
        <f t="shared" si="57"/>
        <v>BELUM DATANG</v>
      </c>
      <c r="P403" s="36"/>
      <c r="Q403" s="37"/>
      <c r="R403" s="37">
        <f t="shared" ref="R403:R416" si="58">Q403-H403</f>
        <v>-1393</v>
      </c>
    </row>
    <row r="404">
      <c r="A404" s="38" t="s">
        <v>111</v>
      </c>
      <c r="B404" s="30" t="s">
        <v>31</v>
      </c>
      <c r="C404" s="48" t="s">
        <v>112</v>
      </c>
      <c r="D404" s="48" t="s">
        <v>113</v>
      </c>
      <c r="E404" s="59">
        <v>1393.0</v>
      </c>
      <c r="F404" s="32" t="s">
        <v>110</v>
      </c>
      <c r="G404" s="32" t="s">
        <v>71</v>
      </c>
      <c r="H404" s="59">
        <v>1393.0</v>
      </c>
      <c r="I404" s="58">
        <v>1.710004599E9</v>
      </c>
      <c r="J404" s="58" t="s">
        <v>64</v>
      </c>
      <c r="K404" s="58" t="s">
        <v>56</v>
      </c>
      <c r="L404" s="36"/>
      <c r="M404" s="36" t="str">
        <f t="shared" si="56"/>
        <v>BELUM PO</v>
      </c>
      <c r="N404" s="36"/>
      <c r="O404" s="36" t="str">
        <f t="shared" si="57"/>
        <v>BELUM DATANG</v>
      </c>
      <c r="P404" s="36"/>
      <c r="Q404" s="37"/>
      <c r="R404" s="70">
        <f t="shared" si="58"/>
        <v>-1393</v>
      </c>
    </row>
    <row r="405">
      <c r="A405" s="38" t="s">
        <v>114</v>
      </c>
      <c r="B405" s="30" t="s">
        <v>31</v>
      </c>
      <c r="C405" s="48" t="s">
        <v>115</v>
      </c>
      <c r="D405" s="48" t="s">
        <v>116</v>
      </c>
      <c r="E405" s="138">
        <v>2.0</v>
      </c>
      <c r="F405" s="32" t="s">
        <v>117</v>
      </c>
      <c r="G405" s="32" t="s">
        <v>71</v>
      </c>
      <c r="H405" s="37">
        <v>2.0</v>
      </c>
      <c r="I405" s="38">
        <v>1.710004599E9</v>
      </c>
      <c r="J405" s="38" t="s">
        <v>64</v>
      </c>
      <c r="K405" s="56">
        <v>46301.0</v>
      </c>
      <c r="L405" s="33">
        <v>7.100003978E9</v>
      </c>
      <c r="M405" s="36" t="str">
        <f t="shared" si="56"/>
        <v>SUDAH PO</v>
      </c>
      <c r="N405" s="33" t="s">
        <v>78</v>
      </c>
      <c r="O405" s="36" t="str">
        <f t="shared" si="57"/>
        <v>BELUM DATANG</v>
      </c>
      <c r="P405" s="36"/>
      <c r="Q405" s="37"/>
      <c r="R405" s="37">
        <f t="shared" si="58"/>
        <v>-2</v>
      </c>
    </row>
    <row r="406">
      <c r="A406" s="38" t="s">
        <v>118</v>
      </c>
      <c r="B406" s="30" t="s">
        <v>31</v>
      </c>
      <c r="C406" s="48" t="s">
        <v>119</v>
      </c>
      <c r="D406" s="48" t="s">
        <v>120</v>
      </c>
      <c r="E406" s="32">
        <v>2.0</v>
      </c>
      <c r="F406" s="32" t="s">
        <v>117</v>
      </c>
      <c r="G406" s="32" t="s">
        <v>71</v>
      </c>
      <c r="H406" s="58">
        <v>2.0</v>
      </c>
      <c r="I406" s="58">
        <v>1.710004599E9</v>
      </c>
      <c r="J406" s="58" t="s">
        <v>64</v>
      </c>
      <c r="K406" s="35">
        <v>46301.0</v>
      </c>
      <c r="L406" s="33">
        <v>7.100003946E9</v>
      </c>
      <c r="M406" s="38" t="str">
        <f t="shared" si="56"/>
        <v>SUDAH PO</v>
      </c>
      <c r="N406" s="56">
        <v>46332.0</v>
      </c>
      <c r="O406" s="38" t="str">
        <f t="shared" si="57"/>
        <v>CLOSE</v>
      </c>
      <c r="P406" s="56">
        <v>46118.0</v>
      </c>
      <c r="Q406" s="33">
        <v>2.0</v>
      </c>
      <c r="R406" s="38">
        <f t="shared" si="58"/>
        <v>0</v>
      </c>
    </row>
    <row r="407">
      <c r="A407" s="75" t="s">
        <v>122</v>
      </c>
      <c r="B407" s="30" t="s">
        <v>31</v>
      </c>
      <c r="C407" s="76" t="s">
        <v>123</v>
      </c>
      <c r="D407" s="48" t="s">
        <v>124</v>
      </c>
      <c r="E407" s="32">
        <v>20.0</v>
      </c>
      <c r="F407" s="32" t="s">
        <v>10</v>
      </c>
      <c r="G407" s="32" t="s">
        <v>71</v>
      </c>
      <c r="H407" s="70">
        <v>20.0</v>
      </c>
      <c r="I407" s="53">
        <v>1.710004599E9</v>
      </c>
      <c r="J407" s="58" t="s">
        <v>64</v>
      </c>
      <c r="K407" s="35">
        <v>46301.0</v>
      </c>
      <c r="L407" s="33">
        <v>7.100003944E9</v>
      </c>
      <c r="M407" s="36" t="str">
        <f t="shared" si="56"/>
        <v>SUDAH PO</v>
      </c>
      <c r="N407" s="56">
        <v>46208.0</v>
      </c>
      <c r="O407" s="38" t="str">
        <f t="shared" si="57"/>
        <v>CLOSE</v>
      </c>
      <c r="P407" s="33" t="s">
        <v>128</v>
      </c>
      <c r="Q407" s="33">
        <v>20.0</v>
      </c>
      <c r="R407" s="70">
        <f t="shared" si="58"/>
        <v>0</v>
      </c>
    </row>
    <row r="408">
      <c r="A408" s="75" t="s">
        <v>129</v>
      </c>
      <c r="B408" s="30" t="s">
        <v>31</v>
      </c>
      <c r="C408" s="76" t="s">
        <v>130</v>
      </c>
      <c r="D408" s="48" t="s">
        <v>131</v>
      </c>
      <c r="E408" s="32">
        <v>20.0</v>
      </c>
      <c r="F408" s="32" t="s">
        <v>10</v>
      </c>
      <c r="G408" s="32" t="s">
        <v>71</v>
      </c>
      <c r="H408" s="70">
        <v>20.0</v>
      </c>
      <c r="I408" s="53">
        <v>1.710004599E9</v>
      </c>
      <c r="J408" s="58" t="s">
        <v>132</v>
      </c>
      <c r="K408" s="58" t="s">
        <v>56</v>
      </c>
      <c r="L408" s="33">
        <v>7.100003944E9</v>
      </c>
      <c r="M408" s="36" t="str">
        <f t="shared" si="56"/>
        <v>SUDAH PO</v>
      </c>
      <c r="N408" s="56">
        <v>46208.0</v>
      </c>
      <c r="O408" s="38" t="str">
        <f t="shared" si="57"/>
        <v>BELUM DATANG</v>
      </c>
      <c r="P408" s="37"/>
      <c r="Q408" s="37"/>
      <c r="R408" s="70">
        <f t="shared" si="58"/>
        <v>-20</v>
      </c>
    </row>
    <row r="409">
      <c r="A409" s="74"/>
      <c r="B409" s="30" t="s">
        <v>31</v>
      </c>
      <c r="C409" s="47" t="s">
        <v>138</v>
      </c>
      <c r="D409" s="47" t="s">
        <v>138</v>
      </c>
      <c r="E409" s="38">
        <v>4.0</v>
      </c>
      <c r="F409" s="38" t="s">
        <v>106</v>
      </c>
      <c r="G409" s="37"/>
      <c r="H409" s="70"/>
      <c r="I409" s="37"/>
      <c r="J409" s="38"/>
      <c r="K409" s="38"/>
      <c r="L409" s="36"/>
      <c r="M409" s="36" t="str">
        <f t="shared" si="56"/>
        <v>BELUM PO</v>
      </c>
      <c r="N409" s="37"/>
      <c r="O409" s="38" t="str">
        <f t="shared" si="57"/>
        <v>BELUM DATANG</v>
      </c>
      <c r="P409" s="37"/>
      <c r="Q409" s="37"/>
      <c r="R409" s="70">
        <f t="shared" si="58"/>
        <v>0</v>
      </c>
    </row>
    <row r="410">
      <c r="A410" s="38" t="s">
        <v>442</v>
      </c>
      <c r="B410" s="30" t="s">
        <v>31</v>
      </c>
      <c r="C410" s="72" t="s">
        <v>140</v>
      </c>
      <c r="D410" s="72" t="s">
        <v>109</v>
      </c>
      <c r="E410" s="122">
        <v>0.0</v>
      </c>
      <c r="F410" s="123" t="s">
        <v>110</v>
      </c>
      <c r="G410" s="32" t="s">
        <v>71</v>
      </c>
      <c r="H410" s="101"/>
      <c r="I410" s="49"/>
      <c r="J410" s="50"/>
      <c r="K410" s="50"/>
      <c r="L410" s="51"/>
      <c r="M410" s="51" t="str">
        <f t="shared" si="56"/>
        <v>BELUM PO</v>
      </c>
      <c r="N410" s="49"/>
      <c r="O410" s="50" t="str">
        <f t="shared" si="57"/>
        <v>BELUM DATANG</v>
      </c>
      <c r="P410" s="49"/>
      <c r="Q410" s="49"/>
      <c r="R410" s="101">
        <f t="shared" si="58"/>
        <v>0</v>
      </c>
    </row>
    <row r="411">
      <c r="A411" s="38" t="s">
        <v>111</v>
      </c>
      <c r="B411" s="30" t="s">
        <v>31</v>
      </c>
      <c r="C411" s="72" t="s">
        <v>112</v>
      </c>
      <c r="D411" s="72" t="s">
        <v>141</v>
      </c>
      <c r="E411" s="122">
        <v>64.0</v>
      </c>
      <c r="F411" s="122" t="s">
        <v>110</v>
      </c>
      <c r="G411" s="32" t="s">
        <v>71</v>
      </c>
      <c r="H411" s="136">
        <v>64.0</v>
      </c>
      <c r="I411" s="49"/>
      <c r="J411" s="51"/>
      <c r="K411" s="51"/>
      <c r="L411" s="51"/>
      <c r="M411" s="51" t="str">
        <f t="shared" si="56"/>
        <v>BELUM PO</v>
      </c>
      <c r="N411" s="49"/>
      <c r="O411" s="50" t="str">
        <f t="shared" si="57"/>
        <v>BELUM DATANG</v>
      </c>
      <c r="P411" s="49"/>
      <c r="Q411" s="49"/>
      <c r="R411" s="101">
        <f t="shared" si="58"/>
        <v>-64</v>
      </c>
    </row>
    <row r="412">
      <c r="A412" s="38" t="s">
        <v>114</v>
      </c>
      <c r="B412" s="30" t="s">
        <v>31</v>
      </c>
      <c r="C412" s="48" t="s">
        <v>115</v>
      </c>
      <c r="D412" s="48" t="s">
        <v>116</v>
      </c>
      <c r="E412" s="32">
        <v>4.0</v>
      </c>
      <c r="F412" s="32" t="s">
        <v>117</v>
      </c>
      <c r="G412" s="32" t="s">
        <v>71</v>
      </c>
      <c r="H412" s="54">
        <v>4.0</v>
      </c>
      <c r="I412" s="37">
        <v>1.710004599E9</v>
      </c>
      <c r="J412" s="38" t="s">
        <v>64</v>
      </c>
      <c r="K412" s="56">
        <v>46301.0</v>
      </c>
      <c r="L412" s="33">
        <v>7.100003978E9</v>
      </c>
      <c r="M412" s="36" t="str">
        <f t="shared" si="56"/>
        <v>SUDAH PO</v>
      </c>
      <c r="N412" s="33" t="s">
        <v>78</v>
      </c>
      <c r="O412" s="38" t="str">
        <f t="shared" si="57"/>
        <v>BELUM DATANG</v>
      </c>
      <c r="P412" s="37"/>
      <c r="Q412" s="37"/>
      <c r="R412" s="70">
        <f t="shared" si="58"/>
        <v>-4</v>
      </c>
    </row>
    <row r="413">
      <c r="A413" s="37" t="s">
        <v>118</v>
      </c>
      <c r="B413" s="30" t="s">
        <v>31</v>
      </c>
      <c r="C413" s="48" t="s">
        <v>119</v>
      </c>
      <c r="D413" s="48" t="s">
        <v>142</v>
      </c>
      <c r="E413" s="59">
        <v>4.0</v>
      </c>
      <c r="F413" s="32" t="s">
        <v>117</v>
      </c>
      <c r="G413" s="32" t="s">
        <v>71</v>
      </c>
      <c r="H413" s="53">
        <v>4.0</v>
      </c>
      <c r="I413" s="53">
        <v>1.710004543E9</v>
      </c>
      <c r="J413" s="53" t="s">
        <v>314</v>
      </c>
      <c r="K413" s="61">
        <v>46331.0</v>
      </c>
      <c r="L413" s="36">
        <v>7.1000039E9</v>
      </c>
      <c r="M413" s="36" t="str">
        <f t="shared" si="56"/>
        <v>SUDAH PO</v>
      </c>
      <c r="N413" s="33" t="s">
        <v>55</v>
      </c>
      <c r="O413" s="38" t="str">
        <f t="shared" si="57"/>
        <v>CLOSE</v>
      </c>
      <c r="P413" s="33" t="s">
        <v>204</v>
      </c>
      <c r="Q413" s="33">
        <v>4.0</v>
      </c>
      <c r="R413" s="37">
        <f t="shared" si="58"/>
        <v>0</v>
      </c>
    </row>
    <row r="414">
      <c r="A414" s="38" t="s">
        <v>443</v>
      </c>
      <c r="B414" s="30" t="s">
        <v>31</v>
      </c>
      <c r="C414" s="48" t="s">
        <v>67</v>
      </c>
      <c r="D414" s="48" t="s">
        <v>67</v>
      </c>
      <c r="E414" s="37">
        <v>2.0</v>
      </c>
      <c r="F414" s="37" t="s">
        <v>10</v>
      </c>
      <c r="G414" s="32" t="s">
        <v>71</v>
      </c>
      <c r="H414" s="70">
        <v>2.0</v>
      </c>
      <c r="I414" s="58">
        <v>1.710004599E9</v>
      </c>
      <c r="J414" s="34" t="s">
        <v>64</v>
      </c>
      <c r="K414" s="35">
        <v>46301.0</v>
      </c>
      <c r="L414" s="33">
        <v>7.100003974E9</v>
      </c>
      <c r="M414" s="36" t="str">
        <f t="shared" si="56"/>
        <v>SUDAH PO</v>
      </c>
      <c r="N414" s="33" t="s">
        <v>56</v>
      </c>
      <c r="O414" s="38" t="str">
        <f t="shared" si="57"/>
        <v>BELUM DATANG</v>
      </c>
      <c r="P414" s="37"/>
      <c r="Q414" s="37"/>
      <c r="R414" s="70">
        <f t="shared" si="58"/>
        <v>-2</v>
      </c>
    </row>
    <row r="415">
      <c r="A415" s="38" t="s">
        <v>444</v>
      </c>
      <c r="B415" s="30" t="s">
        <v>31</v>
      </c>
      <c r="C415" s="48" t="s">
        <v>74</v>
      </c>
      <c r="D415" s="48" t="s">
        <v>74</v>
      </c>
      <c r="E415" s="37">
        <v>4.0</v>
      </c>
      <c r="F415" s="37" t="s">
        <v>10</v>
      </c>
      <c r="G415" s="32" t="s">
        <v>71</v>
      </c>
      <c r="H415" s="70">
        <v>4.0</v>
      </c>
      <c r="I415" s="34">
        <v>1.710004543E9</v>
      </c>
      <c r="J415" s="34" t="s">
        <v>45</v>
      </c>
      <c r="K415" s="35">
        <v>46331.0</v>
      </c>
      <c r="L415" s="34">
        <v>7.1000039E9</v>
      </c>
      <c r="M415" s="36" t="str">
        <f t="shared" si="56"/>
        <v>SUDAH PO</v>
      </c>
      <c r="N415" s="33" t="s">
        <v>46</v>
      </c>
      <c r="O415" s="38" t="str">
        <f t="shared" si="57"/>
        <v>CLOSE</v>
      </c>
      <c r="P415" s="37" t="s">
        <v>64</v>
      </c>
      <c r="Q415" s="37">
        <v>4.0</v>
      </c>
      <c r="R415" s="70">
        <f t="shared" si="58"/>
        <v>0</v>
      </c>
    </row>
    <row r="416">
      <c r="A416" s="38" t="s">
        <v>150</v>
      </c>
      <c r="B416" s="30" t="s">
        <v>31</v>
      </c>
      <c r="C416" s="48" t="s">
        <v>151</v>
      </c>
      <c r="D416" s="48" t="s">
        <v>152</v>
      </c>
      <c r="E416" s="38">
        <v>20.0</v>
      </c>
      <c r="F416" s="37" t="s">
        <v>44</v>
      </c>
      <c r="G416" s="37"/>
      <c r="H416" s="81">
        <f>E416/2.4</f>
        <v>8.333333333</v>
      </c>
      <c r="I416" s="53">
        <v>1.710004543E9</v>
      </c>
      <c r="J416" s="58" t="s">
        <v>45</v>
      </c>
      <c r="K416" s="55">
        <v>46331.0</v>
      </c>
      <c r="L416" s="33">
        <v>7.100003899E9</v>
      </c>
      <c r="M416" s="36" t="str">
        <f t="shared" si="56"/>
        <v>SUDAH PO</v>
      </c>
      <c r="N416" s="33" t="s">
        <v>153</v>
      </c>
      <c r="O416" s="38" t="str">
        <f t="shared" si="57"/>
        <v>DATANG SEBAGIAN</v>
      </c>
      <c r="P416" s="56">
        <v>46239.0</v>
      </c>
      <c r="Q416" s="33">
        <v>8.0</v>
      </c>
      <c r="R416" s="70">
        <f t="shared" si="58"/>
        <v>-0.3333333333</v>
      </c>
    </row>
    <row r="417">
      <c r="A417" s="82" t="s">
        <v>155</v>
      </c>
      <c r="B417" s="30" t="s">
        <v>31</v>
      </c>
      <c r="C417" s="48" t="s">
        <v>156</v>
      </c>
      <c r="D417" s="48" t="s">
        <v>157</v>
      </c>
      <c r="E417" s="38">
        <v>11.0</v>
      </c>
      <c r="F417" s="37" t="s">
        <v>10</v>
      </c>
      <c r="G417" s="37"/>
      <c r="H417" s="83" t="s">
        <v>158</v>
      </c>
      <c r="I417" s="37"/>
      <c r="J417" s="38"/>
      <c r="K417" s="38"/>
      <c r="L417" s="33" t="s">
        <v>159</v>
      </c>
      <c r="M417" s="36" t="str">
        <f t="shared" si="56"/>
        <v>READY STOK</v>
      </c>
      <c r="N417" s="37"/>
      <c r="O417" s="38" t="str">
        <f t="shared" si="57"/>
        <v>BELUM DATANG</v>
      </c>
      <c r="P417" s="37"/>
      <c r="Q417" s="37"/>
      <c r="R417" s="37">
        <f>Q417-G417</f>
        <v>0</v>
      </c>
    </row>
    <row r="418">
      <c r="A418" s="85" t="s">
        <v>445</v>
      </c>
      <c r="B418" s="30" t="s">
        <v>31</v>
      </c>
      <c r="C418" s="84" t="s">
        <v>446</v>
      </c>
      <c r="D418" s="48" t="s">
        <v>162</v>
      </c>
      <c r="E418" s="57">
        <v>1.0</v>
      </c>
      <c r="F418" s="57" t="s">
        <v>163</v>
      </c>
      <c r="G418" s="85" t="s">
        <v>71</v>
      </c>
      <c r="H418" s="85">
        <v>1.0</v>
      </c>
      <c r="I418" s="85">
        <v>1.710004599E9</v>
      </c>
      <c r="J418" s="85" t="s">
        <v>64</v>
      </c>
      <c r="K418" s="87">
        <v>46301.0</v>
      </c>
      <c r="L418" s="86"/>
      <c r="M418" s="86" t="str">
        <f t="shared" si="56"/>
        <v>BELUM PO</v>
      </c>
      <c r="N418" s="85"/>
      <c r="O418" s="88" t="str">
        <f t="shared" si="57"/>
        <v>BELUM DATANG</v>
      </c>
      <c r="P418" s="85"/>
      <c r="Q418" s="85"/>
      <c r="R418" s="85">
        <f>Q418-H418</f>
        <v>-1</v>
      </c>
    </row>
    <row r="419">
      <c r="A419" s="89"/>
      <c r="B419" s="30" t="s">
        <v>31</v>
      </c>
      <c r="C419" s="89"/>
      <c r="D419" s="48" t="s">
        <v>164</v>
      </c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</row>
    <row r="420">
      <c r="A420" s="89"/>
      <c r="B420" s="30" t="s">
        <v>31</v>
      </c>
      <c r="C420" s="89"/>
      <c r="D420" s="48" t="s">
        <v>165</v>
      </c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</row>
    <row r="421">
      <c r="A421" s="89"/>
      <c r="B421" s="30" t="s">
        <v>31</v>
      </c>
      <c r="C421" s="89"/>
      <c r="D421" s="48" t="s">
        <v>166</v>
      </c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</row>
    <row r="422">
      <c r="A422" s="89"/>
      <c r="B422" s="30" t="s">
        <v>31</v>
      </c>
      <c r="C422" s="89"/>
      <c r="D422" s="48" t="s">
        <v>167</v>
      </c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</row>
    <row r="423">
      <c r="A423" s="89"/>
      <c r="B423" s="30" t="s">
        <v>31</v>
      </c>
      <c r="C423" s="89"/>
      <c r="D423" s="48" t="s">
        <v>168</v>
      </c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</row>
    <row r="424">
      <c r="A424" s="89"/>
      <c r="B424" s="30" t="s">
        <v>31</v>
      </c>
      <c r="C424" s="89"/>
      <c r="D424" s="48" t="s">
        <v>169</v>
      </c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</row>
    <row r="425">
      <c r="A425" s="89"/>
      <c r="B425" s="30" t="s">
        <v>31</v>
      </c>
      <c r="C425" s="89"/>
      <c r="D425" s="48" t="s">
        <v>170</v>
      </c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</row>
    <row r="426">
      <c r="A426" s="89"/>
      <c r="B426" s="30" t="s">
        <v>31</v>
      </c>
      <c r="C426" s="89"/>
      <c r="D426" s="48" t="s">
        <v>171</v>
      </c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</row>
    <row r="427">
      <c r="A427" s="18"/>
      <c r="B427" s="30" t="s">
        <v>31</v>
      </c>
      <c r="C427" s="18"/>
      <c r="D427" s="48" t="s">
        <v>172</v>
      </c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</row>
    <row r="428">
      <c r="A428" s="41"/>
      <c r="B428" s="42"/>
      <c r="C428" s="42"/>
      <c r="D428" s="42"/>
      <c r="E428" s="42"/>
      <c r="F428" s="42"/>
      <c r="G428" s="43"/>
      <c r="H428" s="44"/>
      <c r="I428" s="24"/>
      <c r="J428" s="24"/>
      <c r="K428" s="139"/>
      <c r="L428" s="25"/>
      <c r="M428" s="140"/>
      <c r="N428" s="140"/>
      <c r="O428" s="140"/>
      <c r="P428" s="140"/>
      <c r="Q428" s="141"/>
      <c r="R428" s="141"/>
    </row>
    <row r="429">
      <c r="A429" s="74"/>
      <c r="B429" s="30" t="s">
        <v>32</v>
      </c>
      <c r="C429" s="47" t="s">
        <v>105</v>
      </c>
      <c r="D429" s="47" t="s">
        <v>105</v>
      </c>
      <c r="E429" s="38">
        <v>44.0</v>
      </c>
      <c r="F429" s="38" t="s">
        <v>106</v>
      </c>
      <c r="G429" s="37"/>
      <c r="H429" s="37"/>
      <c r="I429" s="38"/>
      <c r="J429" s="38"/>
      <c r="K429" s="38"/>
      <c r="L429" s="36"/>
      <c r="M429" s="36"/>
      <c r="N429" s="36"/>
      <c r="O429" s="36"/>
      <c r="P429" s="36"/>
      <c r="Q429" s="37"/>
      <c r="R429" s="37"/>
    </row>
    <row r="430">
      <c r="A430" s="38" t="s">
        <v>447</v>
      </c>
      <c r="B430" s="30" t="s">
        <v>32</v>
      </c>
      <c r="C430" s="48" t="s">
        <v>108</v>
      </c>
      <c r="D430" s="48" t="s">
        <v>109</v>
      </c>
      <c r="E430" s="38">
        <v>1393.0</v>
      </c>
      <c r="F430" s="38" t="s">
        <v>110</v>
      </c>
      <c r="G430" s="37"/>
      <c r="H430" s="53">
        <v>1393.0</v>
      </c>
      <c r="I430" s="58">
        <v>1.710004543E9</v>
      </c>
      <c r="J430" s="58" t="s">
        <v>448</v>
      </c>
      <c r="K430" s="61">
        <v>46331.0</v>
      </c>
      <c r="L430" s="36"/>
      <c r="M430" s="36" t="str">
        <f t="shared" ref="M430:M447" si="59">IF(LEN(L430)=10,"SUDAH PO",IF(L430="STOK","READY STOK",IF(L430="PL","READY STOK","BELUM PO")))</f>
        <v>BELUM PO</v>
      </c>
      <c r="N430" s="36"/>
      <c r="O430" s="36" t="str">
        <f t="shared" ref="O430:O447" si="60">IF(H430="STOK","STOK",IF(ISBLANK(P430),"BELUM DATANG",IF(R430=0,"CLOSE","DATANG SEBAGIAN")))</f>
        <v>BELUM DATANG</v>
      </c>
      <c r="P430" s="36"/>
      <c r="Q430" s="37"/>
      <c r="R430" s="37">
        <f t="shared" ref="R430:R444" si="61">Q430-H430</f>
        <v>-1393</v>
      </c>
    </row>
    <row r="431">
      <c r="A431" s="38" t="s">
        <v>111</v>
      </c>
      <c r="B431" s="30" t="s">
        <v>32</v>
      </c>
      <c r="C431" s="48" t="s">
        <v>112</v>
      </c>
      <c r="D431" s="48" t="s">
        <v>113</v>
      </c>
      <c r="E431" s="32">
        <v>1393.0</v>
      </c>
      <c r="F431" s="32" t="s">
        <v>110</v>
      </c>
      <c r="G431" s="32" t="s">
        <v>71</v>
      </c>
      <c r="H431" s="32">
        <v>1393.0</v>
      </c>
      <c r="I431" s="58">
        <v>1.710004599E9</v>
      </c>
      <c r="J431" s="58" t="s">
        <v>64</v>
      </c>
      <c r="K431" s="58" t="s">
        <v>56</v>
      </c>
      <c r="L431" s="36"/>
      <c r="M431" s="36" t="str">
        <f t="shared" si="59"/>
        <v>BELUM PO</v>
      </c>
      <c r="N431" s="36"/>
      <c r="O431" s="36" t="str">
        <f t="shared" si="60"/>
        <v>BELUM DATANG</v>
      </c>
      <c r="P431" s="36"/>
      <c r="Q431" s="37"/>
      <c r="R431" s="37">
        <f t="shared" si="61"/>
        <v>-1393</v>
      </c>
    </row>
    <row r="432">
      <c r="A432" s="38" t="s">
        <v>114</v>
      </c>
      <c r="B432" s="30" t="s">
        <v>32</v>
      </c>
      <c r="C432" s="48" t="s">
        <v>115</v>
      </c>
      <c r="D432" s="48" t="s">
        <v>116</v>
      </c>
      <c r="E432" s="32">
        <v>10.0</v>
      </c>
      <c r="F432" s="32" t="s">
        <v>117</v>
      </c>
      <c r="G432" s="32" t="s">
        <v>71</v>
      </c>
      <c r="H432" s="53">
        <v>10.0</v>
      </c>
      <c r="I432" s="38">
        <v>1.710004599E9</v>
      </c>
      <c r="J432" s="38" t="s">
        <v>64</v>
      </c>
      <c r="K432" s="56">
        <v>46301.0</v>
      </c>
      <c r="L432" s="33">
        <v>7.100003978E9</v>
      </c>
      <c r="M432" s="36" t="str">
        <f t="shared" si="59"/>
        <v>SUDAH PO</v>
      </c>
      <c r="N432" s="33" t="s">
        <v>78</v>
      </c>
      <c r="O432" s="36" t="str">
        <f t="shared" si="60"/>
        <v>BELUM DATANG</v>
      </c>
      <c r="P432" s="36"/>
      <c r="Q432" s="37"/>
      <c r="R432" s="37">
        <f t="shared" si="61"/>
        <v>-10</v>
      </c>
    </row>
    <row r="433">
      <c r="A433" s="38" t="s">
        <v>118</v>
      </c>
      <c r="B433" s="30" t="s">
        <v>32</v>
      </c>
      <c r="C433" s="48" t="s">
        <v>119</v>
      </c>
      <c r="D433" s="48" t="s">
        <v>120</v>
      </c>
      <c r="E433" s="59">
        <v>2.0</v>
      </c>
      <c r="F433" s="32" t="s">
        <v>117</v>
      </c>
      <c r="G433" s="32" t="s">
        <v>71</v>
      </c>
      <c r="H433" s="53">
        <v>2.0</v>
      </c>
      <c r="I433" s="58">
        <v>1.710004543E9</v>
      </c>
      <c r="J433" s="58" t="s">
        <v>314</v>
      </c>
      <c r="K433" s="61">
        <v>46331.0</v>
      </c>
      <c r="L433" s="36">
        <v>7.1000039E9</v>
      </c>
      <c r="M433" s="36" t="str">
        <f t="shared" si="59"/>
        <v>SUDAH PO</v>
      </c>
      <c r="N433" s="33" t="s">
        <v>55</v>
      </c>
      <c r="O433" s="36" t="str">
        <f t="shared" si="60"/>
        <v>CLOSE</v>
      </c>
      <c r="P433" s="33" t="s">
        <v>204</v>
      </c>
      <c r="Q433" s="33">
        <v>2.0</v>
      </c>
      <c r="R433" s="37">
        <f t="shared" si="61"/>
        <v>0</v>
      </c>
    </row>
    <row r="434">
      <c r="A434" s="75" t="s">
        <v>122</v>
      </c>
      <c r="B434" s="30" t="s">
        <v>32</v>
      </c>
      <c r="C434" s="76" t="s">
        <v>123</v>
      </c>
      <c r="D434" s="48" t="s">
        <v>124</v>
      </c>
      <c r="E434" s="32">
        <v>20.0</v>
      </c>
      <c r="F434" s="32" t="s">
        <v>10</v>
      </c>
      <c r="G434" s="32" t="s">
        <v>71</v>
      </c>
      <c r="H434" s="37">
        <v>20.0</v>
      </c>
      <c r="I434" s="58">
        <v>1.710004579E9</v>
      </c>
      <c r="J434" s="61">
        <v>46208.0</v>
      </c>
      <c r="K434" s="33" t="s">
        <v>46</v>
      </c>
      <c r="L434" s="33">
        <v>7.100003944E9</v>
      </c>
      <c r="M434" s="36" t="str">
        <f t="shared" si="59"/>
        <v>SUDAH PO</v>
      </c>
      <c r="N434" s="56">
        <v>46208.0</v>
      </c>
      <c r="O434" s="36" t="str">
        <f t="shared" si="60"/>
        <v>CLOSE</v>
      </c>
      <c r="P434" s="33" t="s">
        <v>128</v>
      </c>
      <c r="Q434" s="33">
        <v>20.0</v>
      </c>
      <c r="R434" s="37">
        <f t="shared" si="61"/>
        <v>0</v>
      </c>
    </row>
    <row r="435">
      <c r="A435" s="75" t="s">
        <v>125</v>
      </c>
      <c r="B435" s="30" t="s">
        <v>32</v>
      </c>
      <c r="C435" s="76" t="s">
        <v>126</v>
      </c>
      <c r="D435" s="48" t="s">
        <v>127</v>
      </c>
      <c r="E435" s="32">
        <v>20.0</v>
      </c>
      <c r="F435" s="32" t="s">
        <v>10</v>
      </c>
      <c r="G435" s="32" t="s">
        <v>71</v>
      </c>
      <c r="H435" s="37">
        <v>20.0</v>
      </c>
      <c r="I435" s="38">
        <v>1.710004599E9</v>
      </c>
      <c r="J435" s="58" t="s">
        <v>64</v>
      </c>
      <c r="K435" s="58" t="s">
        <v>56</v>
      </c>
      <c r="L435" s="33">
        <v>7.100003944E9</v>
      </c>
      <c r="M435" s="36" t="str">
        <f t="shared" si="59"/>
        <v>SUDAH PO</v>
      </c>
      <c r="N435" s="56">
        <v>46208.0</v>
      </c>
      <c r="O435" s="36" t="str">
        <f t="shared" si="60"/>
        <v>CLOSE</v>
      </c>
      <c r="P435" s="33" t="s">
        <v>128</v>
      </c>
      <c r="Q435" s="33">
        <v>20.0</v>
      </c>
      <c r="R435" s="37">
        <f t="shared" si="61"/>
        <v>0</v>
      </c>
    </row>
    <row r="436">
      <c r="A436" s="75" t="s">
        <v>129</v>
      </c>
      <c r="B436" s="30" t="s">
        <v>32</v>
      </c>
      <c r="C436" s="76" t="s">
        <v>130</v>
      </c>
      <c r="D436" s="48" t="s">
        <v>131</v>
      </c>
      <c r="E436" s="32">
        <v>20.0</v>
      </c>
      <c r="F436" s="32" t="s">
        <v>10</v>
      </c>
      <c r="G436" s="32" t="s">
        <v>71</v>
      </c>
      <c r="H436" s="37">
        <v>20.0</v>
      </c>
      <c r="I436" s="58">
        <v>1.710004599E9</v>
      </c>
      <c r="J436" s="58" t="s">
        <v>132</v>
      </c>
      <c r="K436" s="58" t="s">
        <v>56</v>
      </c>
      <c r="L436" s="33">
        <v>7.100003944E9</v>
      </c>
      <c r="M436" s="36" t="str">
        <f t="shared" si="59"/>
        <v>SUDAH PO</v>
      </c>
      <c r="N436" s="56">
        <v>46208.0</v>
      </c>
      <c r="O436" s="36" t="str">
        <f t="shared" si="60"/>
        <v>BELUM DATANG</v>
      </c>
      <c r="P436" s="36"/>
      <c r="Q436" s="37"/>
      <c r="R436" s="37">
        <f t="shared" si="61"/>
        <v>-20</v>
      </c>
    </row>
    <row r="437">
      <c r="A437" s="74"/>
      <c r="B437" s="30" t="s">
        <v>32</v>
      </c>
      <c r="C437" s="47" t="s">
        <v>138</v>
      </c>
      <c r="D437" s="47" t="s">
        <v>138</v>
      </c>
      <c r="E437" s="38">
        <v>4.0</v>
      </c>
      <c r="F437" s="38" t="s">
        <v>106</v>
      </c>
      <c r="G437" s="38"/>
      <c r="H437" s="38"/>
      <c r="I437" s="38"/>
      <c r="J437" s="38"/>
      <c r="K437" s="38"/>
      <c r="L437" s="38"/>
      <c r="M437" s="38" t="str">
        <f t="shared" si="59"/>
        <v>BELUM PO</v>
      </c>
      <c r="N437" s="38"/>
      <c r="O437" s="38" t="str">
        <f t="shared" si="60"/>
        <v>BELUM DATANG</v>
      </c>
      <c r="P437" s="38"/>
      <c r="Q437" s="38"/>
      <c r="R437" s="38">
        <f t="shared" si="61"/>
        <v>0</v>
      </c>
    </row>
    <row r="438">
      <c r="A438" s="38" t="s">
        <v>449</v>
      </c>
      <c r="B438" s="30" t="s">
        <v>32</v>
      </c>
      <c r="C438" s="72" t="s">
        <v>140</v>
      </c>
      <c r="D438" s="72" t="s">
        <v>109</v>
      </c>
      <c r="E438" s="50">
        <v>0.0</v>
      </c>
      <c r="F438" s="123" t="s">
        <v>110</v>
      </c>
      <c r="G438" s="49"/>
      <c r="H438" s="101"/>
      <c r="I438" s="49"/>
      <c r="J438" s="50"/>
      <c r="K438" s="50"/>
      <c r="L438" s="51"/>
      <c r="M438" s="51" t="str">
        <f t="shared" si="59"/>
        <v>BELUM PO</v>
      </c>
      <c r="N438" s="49"/>
      <c r="O438" s="50" t="str">
        <f t="shared" si="60"/>
        <v>BELUM DATANG</v>
      </c>
      <c r="P438" s="49"/>
      <c r="Q438" s="49"/>
      <c r="R438" s="101">
        <f t="shared" si="61"/>
        <v>0</v>
      </c>
    </row>
    <row r="439">
      <c r="A439" s="38" t="s">
        <v>111</v>
      </c>
      <c r="B439" s="30" t="s">
        <v>32</v>
      </c>
      <c r="C439" s="72" t="s">
        <v>112</v>
      </c>
      <c r="D439" s="72" t="s">
        <v>141</v>
      </c>
      <c r="E439" s="122">
        <v>64.0</v>
      </c>
      <c r="F439" s="122" t="s">
        <v>110</v>
      </c>
      <c r="G439" s="32" t="s">
        <v>71</v>
      </c>
      <c r="H439" s="136">
        <v>64.0</v>
      </c>
      <c r="I439" s="49"/>
      <c r="J439" s="50"/>
      <c r="K439" s="50"/>
      <c r="L439" s="51"/>
      <c r="M439" s="51" t="str">
        <f t="shared" si="59"/>
        <v>BELUM PO</v>
      </c>
      <c r="N439" s="49"/>
      <c r="O439" s="50" t="str">
        <f t="shared" si="60"/>
        <v>BELUM DATANG</v>
      </c>
      <c r="P439" s="49"/>
      <c r="Q439" s="49"/>
      <c r="R439" s="101">
        <f t="shared" si="61"/>
        <v>-64</v>
      </c>
    </row>
    <row r="440">
      <c r="A440" s="38" t="s">
        <v>114</v>
      </c>
      <c r="B440" s="30" t="s">
        <v>32</v>
      </c>
      <c r="C440" s="48" t="s">
        <v>115</v>
      </c>
      <c r="D440" s="48" t="s">
        <v>116</v>
      </c>
      <c r="E440" s="32">
        <v>4.0</v>
      </c>
      <c r="F440" s="32" t="s">
        <v>117</v>
      </c>
      <c r="G440" s="32" t="s">
        <v>71</v>
      </c>
      <c r="H440" s="54">
        <v>4.0</v>
      </c>
      <c r="I440" s="37">
        <v>1.710004599E9</v>
      </c>
      <c r="J440" s="38" t="s">
        <v>64</v>
      </c>
      <c r="K440" s="56">
        <v>46301.0</v>
      </c>
      <c r="L440" s="33">
        <v>7.100003978E9</v>
      </c>
      <c r="M440" s="36" t="str">
        <f t="shared" si="59"/>
        <v>SUDAH PO</v>
      </c>
      <c r="N440" s="33" t="s">
        <v>78</v>
      </c>
      <c r="O440" s="38" t="str">
        <f t="shared" si="60"/>
        <v>BELUM DATANG</v>
      </c>
      <c r="P440" s="37"/>
      <c r="Q440" s="37"/>
      <c r="R440" s="70">
        <f t="shared" si="61"/>
        <v>-4</v>
      </c>
    </row>
    <row r="441">
      <c r="A441" s="38" t="s">
        <v>118</v>
      </c>
      <c r="B441" s="30" t="s">
        <v>32</v>
      </c>
      <c r="C441" s="48" t="s">
        <v>119</v>
      </c>
      <c r="D441" s="48" t="s">
        <v>142</v>
      </c>
      <c r="E441" s="32">
        <v>4.0</v>
      </c>
      <c r="F441" s="32" t="s">
        <v>117</v>
      </c>
      <c r="G441" s="32" t="s">
        <v>71</v>
      </c>
      <c r="H441" s="54">
        <v>4.0</v>
      </c>
      <c r="I441" s="53">
        <v>1.710004543E9</v>
      </c>
      <c r="J441" s="58" t="s">
        <v>314</v>
      </c>
      <c r="K441" s="61">
        <v>46331.0</v>
      </c>
      <c r="L441" s="36">
        <v>7.1000039E9</v>
      </c>
      <c r="M441" s="36" t="str">
        <f t="shared" si="59"/>
        <v>SUDAH PO</v>
      </c>
      <c r="N441" s="33" t="s">
        <v>55</v>
      </c>
      <c r="O441" s="38" t="str">
        <f t="shared" si="60"/>
        <v>CLOSE</v>
      </c>
      <c r="P441" s="33" t="s">
        <v>204</v>
      </c>
      <c r="Q441" s="33">
        <v>4.0</v>
      </c>
      <c r="R441" s="70">
        <f t="shared" si="61"/>
        <v>0</v>
      </c>
    </row>
    <row r="442">
      <c r="A442" s="38" t="s">
        <v>450</v>
      </c>
      <c r="B442" s="30" t="s">
        <v>32</v>
      </c>
      <c r="C442" s="48" t="s">
        <v>451</v>
      </c>
      <c r="D442" s="48" t="s">
        <v>67</v>
      </c>
      <c r="E442" s="70">
        <v>2.0</v>
      </c>
      <c r="F442" s="38" t="s">
        <v>10</v>
      </c>
      <c r="G442" s="37"/>
      <c r="H442" s="70">
        <v>2.0</v>
      </c>
      <c r="I442" s="53">
        <v>1.710004543E9</v>
      </c>
      <c r="J442" s="58" t="s">
        <v>45</v>
      </c>
      <c r="K442" s="61">
        <v>46331.0</v>
      </c>
      <c r="L442" s="36">
        <v>7.1000039E9</v>
      </c>
      <c r="M442" s="36" t="str">
        <f t="shared" si="59"/>
        <v>SUDAH PO</v>
      </c>
      <c r="N442" s="37" t="s">
        <v>46</v>
      </c>
      <c r="O442" s="38" t="str">
        <f t="shared" si="60"/>
        <v>BELUM DATANG</v>
      </c>
      <c r="P442" s="37"/>
      <c r="Q442" s="37"/>
      <c r="R442" s="70">
        <f t="shared" si="61"/>
        <v>-2</v>
      </c>
    </row>
    <row r="443">
      <c r="A443" s="38" t="s">
        <v>452</v>
      </c>
      <c r="B443" s="30" t="s">
        <v>32</v>
      </c>
      <c r="C443" s="48" t="s">
        <v>74</v>
      </c>
      <c r="D443" s="48" t="s">
        <v>74</v>
      </c>
      <c r="E443" s="38">
        <v>4.0</v>
      </c>
      <c r="F443" s="38" t="s">
        <v>10</v>
      </c>
      <c r="G443" s="37"/>
      <c r="H443" s="70">
        <v>4.0</v>
      </c>
      <c r="I443" s="53" t="s">
        <v>453</v>
      </c>
      <c r="J443" s="58" t="s">
        <v>453</v>
      </c>
      <c r="K443" s="58" t="s">
        <v>453</v>
      </c>
      <c r="L443" s="55" t="s">
        <v>453</v>
      </c>
      <c r="M443" s="36" t="str">
        <f t="shared" si="59"/>
        <v>BELUM PO</v>
      </c>
      <c r="N443" s="37"/>
      <c r="O443" s="38" t="str">
        <f t="shared" si="60"/>
        <v>BELUM DATANG</v>
      </c>
      <c r="P443" s="37"/>
      <c r="Q443" s="37">
        <v>4.0</v>
      </c>
      <c r="R443" s="70">
        <f t="shared" si="61"/>
        <v>0</v>
      </c>
    </row>
    <row r="444">
      <c r="A444" s="37" t="s">
        <v>150</v>
      </c>
      <c r="B444" s="30" t="s">
        <v>32</v>
      </c>
      <c r="C444" s="48" t="s">
        <v>151</v>
      </c>
      <c r="D444" s="48" t="s">
        <v>152</v>
      </c>
      <c r="E444" s="38">
        <v>20.0</v>
      </c>
      <c r="F444" s="38" t="s">
        <v>44</v>
      </c>
      <c r="G444" s="37"/>
      <c r="H444" s="81">
        <f>E444/2.4</f>
        <v>8.333333333</v>
      </c>
      <c r="I444" s="37">
        <v>1.710004599E9</v>
      </c>
      <c r="J444" s="37" t="s">
        <v>64</v>
      </c>
      <c r="K444" s="37" t="s">
        <v>56</v>
      </c>
      <c r="L444" s="33">
        <v>7.100003948E9</v>
      </c>
      <c r="M444" s="36" t="str">
        <f t="shared" si="59"/>
        <v>SUDAH PO</v>
      </c>
      <c r="N444" s="33" t="s">
        <v>78</v>
      </c>
      <c r="O444" s="38" t="str">
        <f t="shared" si="60"/>
        <v>BELUM DATANG</v>
      </c>
      <c r="P444" s="37"/>
      <c r="Q444" s="37"/>
      <c r="R444" s="70">
        <f t="shared" si="61"/>
        <v>-8.333333333</v>
      </c>
    </row>
    <row r="445">
      <c r="A445" s="82" t="s">
        <v>155</v>
      </c>
      <c r="B445" s="30" t="s">
        <v>32</v>
      </c>
      <c r="C445" s="48" t="s">
        <v>156</v>
      </c>
      <c r="D445" s="48" t="s">
        <v>157</v>
      </c>
      <c r="E445" s="37">
        <v>9.0</v>
      </c>
      <c r="F445" s="37" t="s">
        <v>10</v>
      </c>
      <c r="G445" s="37"/>
      <c r="H445" s="83" t="s">
        <v>158</v>
      </c>
      <c r="I445" s="37"/>
      <c r="J445" s="70"/>
      <c r="K445" s="38"/>
      <c r="L445" s="33" t="s">
        <v>159</v>
      </c>
      <c r="M445" s="36" t="str">
        <f t="shared" si="59"/>
        <v>READY STOK</v>
      </c>
      <c r="N445" s="37"/>
      <c r="O445" s="38" t="str">
        <f t="shared" si="60"/>
        <v>BELUM DATANG</v>
      </c>
      <c r="P445" s="37"/>
      <c r="Q445" s="37"/>
      <c r="R445" s="37">
        <f>Q445-G445</f>
        <v>0</v>
      </c>
    </row>
    <row r="446">
      <c r="A446" s="74"/>
      <c r="B446" s="30" t="s">
        <v>32</v>
      </c>
      <c r="C446" s="142" t="s">
        <v>454</v>
      </c>
      <c r="D446" s="143"/>
      <c r="E446" s="144"/>
      <c r="F446" s="37"/>
      <c r="G446" s="37"/>
      <c r="H446" s="70"/>
      <c r="I446" s="37"/>
      <c r="J446" s="38"/>
      <c r="K446" s="38"/>
      <c r="L446" s="36"/>
      <c r="M446" s="36" t="str">
        <f t="shared" si="59"/>
        <v>BELUM PO</v>
      </c>
      <c r="N446" s="37"/>
      <c r="O446" s="38" t="str">
        <f t="shared" si="60"/>
        <v>BELUM DATANG</v>
      </c>
      <c r="P446" s="37"/>
      <c r="Q446" s="37"/>
      <c r="R446" s="70">
        <f t="shared" ref="R446:R447" si="62">Q446-H446</f>
        <v>0</v>
      </c>
    </row>
    <row r="447">
      <c r="A447" s="57" t="s">
        <v>455</v>
      </c>
      <c r="B447" s="30" t="s">
        <v>32</v>
      </c>
      <c r="C447" s="84" t="s">
        <v>456</v>
      </c>
      <c r="D447" s="48" t="s">
        <v>162</v>
      </c>
      <c r="E447" s="57">
        <v>1.0</v>
      </c>
      <c r="F447" s="85" t="s">
        <v>163</v>
      </c>
      <c r="G447" s="85" t="s">
        <v>71</v>
      </c>
      <c r="H447" s="137">
        <v>1.0</v>
      </c>
      <c r="I447" s="85">
        <v>1.710004599E9</v>
      </c>
      <c r="J447" s="57" t="s">
        <v>64</v>
      </c>
      <c r="K447" s="87">
        <v>46301.0</v>
      </c>
      <c r="L447" s="86"/>
      <c r="M447" s="86" t="str">
        <f t="shared" si="59"/>
        <v>BELUM PO</v>
      </c>
      <c r="N447" s="85"/>
      <c r="O447" s="88" t="str">
        <f t="shared" si="60"/>
        <v>BELUM DATANG</v>
      </c>
      <c r="P447" s="85"/>
      <c r="Q447" s="85"/>
      <c r="R447" s="137">
        <f t="shared" si="62"/>
        <v>-1</v>
      </c>
    </row>
    <row r="448">
      <c r="A448" s="89"/>
      <c r="B448" s="30" t="s">
        <v>32</v>
      </c>
      <c r="C448" s="89"/>
      <c r="D448" s="48" t="s">
        <v>164</v>
      </c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</row>
    <row r="449">
      <c r="A449" s="89"/>
      <c r="B449" s="30" t="s">
        <v>32</v>
      </c>
      <c r="C449" s="89"/>
      <c r="D449" s="48" t="s">
        <v>165</v>
      </c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</row>
    <row r="450">
      <c r="A450" s="89"/>
      <c r="B450" s="30" t="s">
        <v>32</v>
      </c>
      <c r="C450" s="89"/>
      <c r="D450" s="48" t="s">
        <v>166</v>
      </c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</row>
    <row r="451">
      <c r="A451" s="89"/>
      <c r="B451" s="30" t="s">
        <v>32</v>
      </c>
      <c r="C451" s="89"/>
      <c r="D451" s="48" t="s">
        <v>167</v>
      </c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</row>
    <row r="452">
      <c r="A452" s="89"/>
      <c r="B452" s="30" t="s">
        <v>32</v>
      </c>
      <c r="C452" s="89"/>
      <c r="D452" s="48" t="s">
        <v>168</v>
      </c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</row>
    <row r="453">
      <c r="A453" s="89"/>
      <c r="B453" s="30" t="s">
        <v>32</v>
      </c>
      <c r="C453" s="89"/>
      <c r="D453" s="48" t="s">
        <v>169</v>
      </c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</row>
    <row r="454">
      <c r="A454" s="89"/>
      <c r="B454" s="30" t="s">
        <v>32</v>
      </c>
      <c r="C454" s="89"/>
      <c r="D454" s="48" t="s">
        <v>170</v>
      </c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</row>
    <row r="455">
      <c r="A455" s="89"/>
      <c r="B455" s="30" t="s">
        <v>32</v>
      </c>
      <c r="C455" s="89"/>
      <c r="D455" s="48" t="s">
        <v>171</v>
      </c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</row>
    <row r="456">
      <c r="A456" s="18"/>
      <c r="B456" s="30" t="s">
        <v>32</v>
      </c>
      <c r="C456" s="18"/>
      <c r="D456" s="48" t="s">
        <v>172</v>
      </c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>
      <c r="A457" s="41"/>
      <c r="B457" s="42"/>
      <c r="C457" s="42"/>
      <c r="D457" s="42"/>
      <c r="E457" s="42"/>
      <c r="F457" s="42"/>
      <c r="G457" s="43"/>
      <c r="H457" s="145"/>
      <c r="I457" s="44"/>
      <c r="J457" s="24"/>
      <c r="K457" s="139"/>
      <c r="L457" s="25"/>
      <c r="M457" s="140"/>
      <c r="N457" s="141"/>
      <c r="O457" s="139"/>
      <c r="P457" s="141"/>
      <c r="Q457" s="141"/>
      <c r="R457" s="141"/>
    </row>
    <row r="458">
      <c r="A458" s="74"/>
      <c r="B458" s="30" t="s">
        <v>33</v>
      </c>
      <c r="C458" s="47" t="s">
        <v>105</v>
      </c>
      <c r="D458" s="47" t="s">
        <v>105</v>
      </c>
      <c r="E458" s="38">
        <v>44.0</v>
      </c>
      <c r="F458" s="38" t="s">
        <v>106</v>
      </c>
      <c r="G458" s="37"/>
      <c r="H458" s="37"/>
      <c r="I458" s="38"/>
      <c r="J458" s="38"/>
      <c r="K458" s="146"/>
      <c r="L458" s="36"/>
      <c r="M458" s="36"/>
      <c r="N458" s="36"/>
      <c r="O458" s="36"/>
      <c r="P458" s="36"/>
      <c r="Q458" s="37"/>
      <c r="R458" s="147"/>
    </row>
    <row r="459">
      <c r="A459" s="38" t="s">
        <v>457</v>
      </c>
      <c r="B459" s="30" t="s">
        <v>33</v>
      </c>
      <c r="C459" s="48" t="s">
        <v>108</v>
      </c>
      <c r="D459" s="48" t="s">
        <v>109</v>
      </c>
      <c r="E459" s="38">
        <v>1303.0</v>
      </c>
      <c r="F459" s="38" t="s">
        <v>110</v>
      </c>
      <c r="G459" s="37"/>
      <c r="H459" s="53">
        <v>1309.0</v>
      </c>
      <c r="I459" s="58">
        <v>1.710004543E9</v>
      </c>
      <c r="J459" s="58" t="s">
        <v>448</v>
      </c>
      <c r="K459" s="61">
        <v>46331.0</v>
      </c>
      <c r="L459" s="36"/>
      <c r="M459" s="36" t="str">
        <f t="shared" ref="M459:M475" si="63">IF(LEN(L459)=10,"SUDAH PO",IF(L459="STOK","READY STOK",IF(L459="PL","READY STOK","BELUM PO")))</f>
        <v>BELUM PO</v>
      </c>
      <c r="N459" s="36"/>
      <c r="O459" s="36" t="str">
        <f t="shared" ref="O459:O475" si="64">IF(H459="STOK","STOK",IF(ISBLANK(P459),"BELUM DATANG",IF(R459=0,"CLOSE","DATANG SEBAGIAN")))</f>
        <v>BELUM DATANG</v>
      </c>
      <c r="P459" s="36"/>
      <c r="Q459" s="37"/>
      <c r="R459" s="37">
        <f t="shared" ref="R459:R473" si="65">Q459-H459</f>
        <v>-1309</v>
      </c>
    </row>
    <row r="460">
      <c r="A460" s="38" t="s">
        <v>111</v>
      </c>
      <c r="B460" s="30" t="s">
        <v>33</v>
      </c>
      <c r="C460" s="48" t="s">
        <v>112</v>
      </c>
      <c r="D460" s="48" t="s">
        <v>113</v>
      </c>
      <c r="E460" s="32">
        <v>1393.0</v>
      </c>
      <c r="F460" s="32" t="s">
        <v>110</v>
      </c>
      <c r="G460" s="32" t="s">
        <v>71</v>
      </c>
      <c r="H460" s="32">
        <v>1393.0</v>
      </c>
      <c r="I460" s="58">
        <v>1.710004599E9</v>
      </c>
      <c r="J460" s="58" t="s">
        <v>64</v>
      </c>
      <c r="K460" s="58" t="s">
        <v>56</v>
      </c>
      <c r="L460" s="36"/>
      <c r="M460" s="36" t="str">
        <f t="shared" si="63"/>
        <v>BELUM PO</v>
      </c>
      <c r="N460" s="36"/>
      <c r="O460" s="36" t="str">
        <f t="shared" si="64"/>
        <v>BELUM DATANG</v>
      </c>
      <c r="P460" s="36"/>
      <c r="Q460" s="37"/>
      <c r="R460" s="37">
        <f t="shared" si="65"/>
        <v>-1393</v>
      </c>
    </row>
    <row r="461">
      <c r="A461" s="38" t="s">
        <v>114</v>
      </c>
      <c r="B461" s="30" t="s">
        <v>33</v>
      </c>
      <c r="C461" s="48" t="s">
        <v>115</v>
      </c>
      <c r="D461" s="48" t="s">
        <v>116</v>
      </c>
      <c r="E461" s="32">
        <v>10.0</v>
      </c>
      <c r="F461" s="32" t="s">
        <v>117</v>
      </c>
      <c r="G461" s="32" t="s">
        <v>71</v>
      </c>
      <c r="H461" s="53">
        <v>10.0</v>
      </c>
      <c r="I461" s="38">
        <v>1.710004599E9</v>
      </c>
      <c r="J461" s="38" t="s">
        <v>64</v>
      </c>
      <c r="K461" s="56">
        <v>46301.0</v>
      </c>
      <c r="L461" s="33">
        <v>7.100003978E9</v>
      </c>
      <c r="M461" s="36" t="str">
        <f t="shared" si="63"/>
        <v>SUDAH PO</v>
      </c>
      <c r="N461" s="33" t="s">
        <v>78</v>
      </c>
      <c r="O461" s="36" t="str">
        <f t="shared" si="64"/>
        <v>BELUM DATANG</v>
      </c>
      <c r="P461" s="36"/>
      <c r="Q461" s="37"/>
      <c r="R461" s="37">
        <f t="shared" si="65"/>
        <v>-10</v>
      </c>
    </row>
    <row r="462">
      <c r="A462" s="38" t="s">
        <v>118</v>
      </c>
      <c r="B462" s="30" t="s">
        <v>33</v>
      </c>
      <c r="C462" s="48" t="s">
        <v>119</v>
      </c>
      <c r="D462" s="48" t="s">
        <v>120</v>
      </c>
      <c r="E462" s="32">
        <v>2.0</v>
      </c>
      <c r="F462" s="32" t="s">
        <v>117</v>
      </c>
      <c r="G462" s="32" t="s">
        <v>71</v>
      </c>
      <c r="H462" s="53">
        <v>2.0</v>
      </c>
      <c r="I462" s="58">
        <v>1.710004599E9</v>
      </c>
      <c r="J462" s="58" t="s">
        <v>64</v>
      </c>
      <c r="K462" s="35">
        <v>46301.0</v>
      </c>
      <c r="L462" s="33">
        <v>7.100003946E9</v>
      </c>
      <c r="M462" s="36" t="str">
        <f t="shared" si="63"/>
        <v>SUDAH PO</v>
      </c>
      <c r="N462" s="56">
        <v>46332.0</v>
      </c>
      <c r="O462" s="36" t="str">
        <f t="shared" si="64"/>
        <v>CLOSE</v>
      </c>
      <c r="P462" s="56">
        <v>46118.0</v>
      </c>
      <c r="Q462" s="33">
        <v>2.0</v>
      </c>
      <c r="R462" s="37">
        <f t="shared" si="65"/>
        <v>0</v>
      </c>
    </row>
    <row r="463">
      <c r="A463" s="75" t="s">
        <v>122</v>
      </c>
      <c r="B463" s="30" t="s">
        <v>33</v>
      </c>
      <c r="C463" s="76" t="s">
        <v>123</v>
      </c>
      <c r="D463" s="48" t="s">
        <v>124</v>
      </c>
      <c r="E463" s="59">
        <v>20.0</v>
      </c>
      <c r="F463" s="32" t="s">
        <v>10</v>
      </c>
      <c r="G463" s="32" t="s">
        <v>71</v>
      </c>
      <c r="H463" s="70">
        <v>20.0</v>
      </c>
      <c r="I463" s="58">
        <v>1.710004579E9</v>
      </c>
      <c r="J463" s="61">
        <v>46208.0</v>
      </c>
      <c r="K463" s="33" t="s">
        <v>46</v>
      </c>
      <c r="L463" s="33">
        <v>7.100003944E9</v>
      </c>
      <c r="M463" s="36" t="str">
        <f t="shared" si="63"/>
        <v>SUDAH PO</v>
      </c>
      <c r="N463" s="56">
        <v>46208.0</v>
      </c>
      <c r="O463" s="36" t="str">
        <f t="shared" si="64"/>
        <v>BELUM DATANG</v>
      </c>
      <c r="P463" s="36"/>
      <c r="Q463" s="37"/>
      <c r="R463" s="70">
        <f t="shared" si="65"/>
        <v>-20</v>
      </c>
    </row>
    <row r="464">
      <c r="A464" s="75" t="s">
        <v>129</v>
      </c>
      <c r="B464" s="30" t="s">
        <v>33</v>
      </c>
      <c r="C464" s="76" t="s">
        <v>126</v>
      </c>
      <c r="D464" s="48" t="s">
        <v>127</v>
      </c>
      <c r="E464" s="32">
        <v>20.0</v>
      </c>
      <c r="F464" s="32" t="s">
        <v>10</v>
      </c>
      <c r="G464" s="32" t="s">
        <v>71</v>
      </c>
      <c r="H464" s="37">
        <v>20.0</v>
      </c>
      <c r="I464" s="58">
        <v>1.710004599E9</v>
      </c>
      <c r="J464" s="58" t="s">
        <v>132</v>
      </c>
      <c r="K464" s="58" t="s">
        <v>56</v>
      </c>
      <c r="L464" s="33">
        <v>7.100003944E9</v>
      </c>
      <c r="M464" s="36" t="str">
        <f t="shared" si="63"/>
        <v>SUDAH PO</v>
      </c>
      <c r="N464" s="56">
        <v>46208.0</v>
      </c>
      <c r="O464" s="36" t="str">
        <f t="shared" si="64"/>
        <v>BELUM DATANG</v>
      </c>
      <c r="P464" s="36"/>
      <c r="Q464" s="37"/>
      <c r="R464" s="37">
        <f t="shared" si="65"/>
        <v>-20</v>
      </c>
    </row>
    <row r="465">
      <c r="A465" s="74"/>
      <c r="B465" s="30" t="s">
        <v>33</v>
      </c>
      <c r="C465" s="47" t="s">
        <v>138</v>
      </c>
      <c r="D465" s="47" t="s">
        <v>138</v>
      </c>
      <c r="E465" s="38">
        <v>4.0</v>
      </c>
      <c r="F465" s="38" t="s">
        <v>106</v>
      </c>
      <c r="G465" s="37"/>
      <c r="H465" s="37"/>
      <c r="I465" s="38"/>
      <c r="J465" s="38"/>
      <c r="K465" s="38"/>
      <c r="L465" s="36"/>
      <c r="M465" s="36" t="str">
        <f t="shared" si="63"/>
        <v>BELUM PO</v>
      </c>
      <c r="N465" s="36"/>
      <c r="O465" s="36" t="str">
        <f t="shared" si="64"/>
        <v>BELUM DATANG</v>
      </c>
      <c r="P465" s="36"/>
      <c r="Q465" s="37"/>
      <c r="R465" s="37">
        <f t="shared" si="65"/>
        <v>0</v>
      </c>
    </row>
    <row r="466">
      <c r="A466" s="75" t="s">
        <v>458</v>
      </c>
      <c r="B466" s="30" t="s">
        <v>33</v>
      </c>
      <c r="C466" s="76" t="s">
        <v>130</v>
      </c>
      <c r="D466" s="48" t="s">
        <v>131</v>
      </c>
      <c r="E466" s="38">
        <v>20.0</v>
      </c>
      <c r="F466" s="38" t="s">
        <v>106</v>
      </c>
      <c r="G466" s="37"/>
      <c r="H466" s="37"/>
      <c r="I466" s="38"/>
      <c r="J466" s="38"/>
      <c r="K466" s="38"/>
      <c r="L466" s="36"/>
      <c r="M466" s="36" t="str">
        <f t="shared" si="63"/>
        <v>BELUM PO</v>
      </c>
      <c r="N466" s="36"/>
      <c r="O466" s="36" t="str">
        <f t="shared" si="64"/>
        <v>BELUM DATANG</v>
      </c>
      <c r="P466" s="36"/>
      <c r="Q466" s="37"/>
      <c r="R466" s="37">
        <f t="shared" si="65"/>
        <v>0</v>
      </c>
    </row>
    <row r="467">
      <c r="A467" s="38" t="s">
        <v>459</v>
      </c>
      <c r="B467" s="30" t="s">
        <v>33</v>
      </c>
      <c r="C467" s="72" t="s">
        <v>140</v>
      </c>
      <c r="D467" s="72" t="s">
        <v>109</v>
      </c>
      <c r="E467" s="50">
        <v>0.0</v>
      </c>
      <c r="F467" s="123" t="s">
        <v>110</v>
      </c>
      <c r="G467" s="50"/>
      <c r="H467" s="50"/>
      <c r="I467" s="50"/>
      <c r="J467" s="50"/>
      <c r="K467" s="50"/>
      <c r="L467" s="50"/>
      <c r="M467" s="50" t="str">
        <f t="shared" si="63"/>
        <v>BELUM PO</v>
      </c>
      <c r="N467" s="50"/>
      <c r="O467" s="50" t="str">
        <f t="shared" si="64"/>
        <v>BELUM DATANG</v>
      </c>
      <c r="P467" s="50"/>
      <c r="Q467" s="50"/>
      <c r="R467" s="50">
        <f t="shared" si="65"/>
        <v>0</v>
      </c>
    </row>
    <row r="468">
      <c r="A468" s="38" t="s">
        <v>111</v>
      </c>
      <c r="B468" s="30" t="s">
        <v>33</v>
      </c>
      <c r="C468" s="72" t="s">
        <v>112</v>
      </c>
      <c r="D468" s="72" t="s">
        <v>141</v>
      </c>
      <c r="E468" s="122">
        <v>64.0</v>
      </c>
      <c r="F468" s="122" t="s">
        <v>110</v>
      </c>
      <c r="G468" s="32" t="s">
        <v>71</v>
      </c>
      <c r="H468" s="136">
        <v>64.0</v>
      </c>
      <c r="I468" s="49"/>
      <c r="J468" s="50"/>
      <c r="K468" s="50"/>
      <c r="L468" s="51"/>
      <c r="M468" s="51" t="str">
        <f t="shared" si="63"/>
        <v>BELUM PO</v>
      </c>
      <c r="N468" s="49"/>
      <c r="O468" s="50" t="str">
        <f t="shared" si="64"/>
        <v>BELUM DATANG</v>
      </c>
      <c r="P468" s="49"/>
      <c r="Q468" s="49"/>
      <c r="R468" s="101">
        <f t="shared" si="65"/>
        <v>-64</v>
      </c>
    </row>
    <row r="469">
      <c r="A469" s="37" t="s">
        <v>114</v>
      </c>
      <c r="B469" s="30" t="s">
        <v>33</v>
      </c>
      <c r="C469" s="48" t="s">
        <v>115</v>
      </c>
      <c r="D469" s="48" t="s">
        <v>116</v>
      </c>
      <c r="E469" s="32">
        <v>4.0</v>
      </c>
      <c r="F469" s="32" t="s">
        <v>117</v>
      </c>
      <c r="G469" s="32" t="s">
        <v>71</v>
      </c>
      <c r="H469" s="37">
        <v>4.0</v>
      </c>
      <c r="I469" s="37">
        <v>1.710004599E9</v>
      </c>
      <c r="J469" s="37" t="s">
        <v>64</v>
      </c>
      <c r="K469" s="56">
        <v>46301.0</v>
      </c>
      <c r="L469" s="33">
        <v>7.100003978E9</v>
      </c>
      <c r="M469" s="36" t="str">
        <f t="shared" si="63"/>
        <v>SUDAH PO</v>
      </c>
      <c r="N469" s="33" t="s">
        <v>78</v>
      </c>
      <c r="O469" s="38" t="str">
        <f t="shared" si="64"/>
        <v>BELUM DATANG</v>
      </c>
      <c r="P469" s="37"/>
      <c r="Q469" s="37"/>
      <c r="R469" s="37">
        <f t="shared" si="65"/>
        <v>-4</v>
      </c>
    </row>
    <row r="470">
      <c r="A470" s="38" t="s">
        <v>118</v>
      </c>
      <c r="B470" s="30" t="s">
        <v>33</v>
      </c>
      <c r="C470" s="48" t="s">
        <v>119</v>
      </c>
      <c r="D470" s="48" t="s">
        <v>142</v>
      </c>
      <c r="E470" s="32">
        <v>4.0</v>
      </c>
      <c r="F470" s="32" t="s">
        <v>117</v>
      </c>
      <c r="G470" s="32" t="s">
        <v>71</v>
      </c>
      <c r="H470" s="54">
        <v>4.0</v>
      </c>
      <c r="I470" s="53">
        <v>1.710004599E9</v>
      </c>
      <c r="J470" s="54" t="s">
        <v>64</v>
      </c>
      <c r="K470" s="35">
        <v>46301.0</v>
      </c>
      <c r="L470" s="33">
        <v>7.100003946E9</v>
      </c>
      <c r="M470" s="36" t="str">
        <f t="shared" si="63"/>
        <v>SUDAH PO</v>
      </c>
      <c r="N470" s="56">
        <v>46332.0</v>
      </c>
      <c r="O470" s="38" t="str">
        <f t="shared" si="64"/>
        <v>CLOSE</v>
      </c>
      <c r="P470" s="56">
        <v>46118.0</v>
      </c>
      <c r="Q470" s="33">
        <v>4.0</v>
      </c>
      <c r="R470" s="70">
        <f t="shared" si="65"/>
        <v>0</v>
      </c>
    </row>
    <row r="471">
      <c r="A471" s="38" t="s">
        <v>460</v>
      </c>
      <c r="B471" s="30" t="s">
        <v>33</v>
      </c>
      <c r="C471" s="48" t="s">
        <v>451</v>
      </c>
      <c r="D471" s="48" t="s">
        <v>67</v>
      </c>
      <c r="E471" s="37">
        <v>2.0</v>
      </c>
      <c r="F471" s="37" t="s">
        <v>10</v>
      </c>
      <c r="G471" s="37"/>
      <c r="H471" s="70">
        <v>2.0</v>
      </c>
      <c r="I471" s="53">
        <v>1.710004599E9</v>
      </c>
      <c r="J471" s="58" t="s">
        <v>132</v>
      </c>
      <c r="K471" s="58" t="s">
        <v>56</v>
      </c>
      <c r="L471" s="36"/>
      <c r="M471" s="36" t="str">
        <f t="shared" si="63"/>
        <v>BELUM PO</v>
      </c>
      <c r="N471" s="37"/>
      <c r="O471" s="38" t="str">
        <f t="shared" si="64"/>
        <v>BELUM DATANG</v>
      </c>
      <c r="P471" s="37"/>
      <c r="Q471" s="37"/>
      <c r="R471" s="70">
        <f t="shared" si="65"/>
        <v>-2</v>
      </c>
    </row>
    <row r="472">
      <c r="A472" s="38" t="s">
        <v>461</v>
      </c>
      <c r="B472" s="30" t="s">
        <v>33</v>
      </c>
      <c r="C472" s="48" t="s">
        <v>74</v>
      </c>
      <c r="D472" s="48" t="s">
        <v>74</v>
      </c>
      <c r="E472" s="70">
        <v>4.0</v>
      </c>
      <c r="F472" s="37" t="s">
        <v>10</v>
      </c>
      <c r="G472" s="37"/>
      <c r="H472" s="70">
        <v>4.0</v>
      </c>
      <c r="I472" s="58" t="s">
        <v>453</v>
      </c>
      <c r="J472" s="58" t="s">
        <v>453</v>
      </c>
      <c r="K472" s="58" t="s">
        <v>453</v>
      </c>
      <c r="L472" s="55" t="s">
        <v>453</v>
      </c>
      <c r="M472" s="36" t="str">
        <f t="shared" si="63"/>
        <v>BELUM PO</v>
      </c>
      <c r="N472" s="37"/>
      <c r="O472" s="38" t="str">
        <f t="shared" si="64"/>
        <v>BELUM DATANG</v>
      </c>
      <c r="P472" s="37"/>
      <c r="Q472" s="37">
        <v>4.0</v>
      </c>
      <c r="R472" s="70">
        <f t="shared" si="65"/>
        <v>0</v>
      </c>
    </row>
    <row r="473">
      <c r="A473" s="38" t="s">
        <v>150</v>
      </c>
      <c r="B473" s="30" t="s">
        <v>33</v>
      </c>
      <c r="C473" s="48" t="s">
        <v>151</v>
      </c>
      <c r="D473" s="48" t="s">
        <v>152</v>
      </c>
      <c r="E473" s="38">
        <v>20.0</v>
      </c>
      <c r="F473" s="37" t="s">
        <v>44</v>
      </c>
      <c r="G473" s="37"/>
      <c r="H473" s="81">
        <f>E473/2.4</f>
        <v>8.333333333</v>
      </c>
      <c r="I473" s="38">
        <v>1.710004599E9</v>
      </c>
      <c r="J473" s="38" t="s">
        <v>64</v>
      </c>
      <c r="K473" s="38" t="s">
        <v>56</v>
      </c>
      <c r="L473" s="33">
        <v>7.100003948E9</v>
      </c>
      <c r="M473" s="36" t="str">
        <f t="shared" si="63"/>
        <v>SUDAH PO</v>
      </c>
      <c r="N473" s="33" t="s">
        <v>78</v>
      </c>
      <c r="O473" s="38" t="str">
        <f t="shared" si="64"/>
        <v>BELUM DATANG</v>
      </c>
      <c r="P473" s="37"/>
      <c r="Q473" s="37"/>
      <c r="R473" s="70">
        <f t="shared" si="65"/>
        <v>-8.333333333</v>
      </c>
    </row>
    <row r="474">
      <c r="A474" s="82" t="s">
        <v>155</v>
      </c>
      <c r="B474" s="30" t="s">
        <v>33</v>
      </c>
      <c r="C474" s="48" t="s">
        <v>156</v>
      </c>
      <c r="D474" s="48" t="s">
        <v>157</v>
      </c>
      <c r="E474" s="38">
        <v>9.0</v>
      </c>
      <c r="F474" s="38" t="s">
        <v>10</v>
      </c>
      <c r="G474" s="37"/>
      <c r="H474" s="83" t="s">
        <v>158</v>
      </c>
      <c r="I474" s="37"/>
      <c r="J474" s="37"/>
      <c r="K474" s="78"/>
      <c r="L474" s="33" t="s">
        <v>159</v>
      </c>
      <c r="M474" s="36" t="str">
        <f t="shared" si="63"/>
        <v>READY STOK</v>
      </c>
      <c r="N474" s="37"/>
      <c r="O474" s="38" t="str">
        <f t="shared" si="64"/>
        <v>BELUM DATANG</v>
      </c>
      <c r="P474" s="37"/>
      <c r="Q474" s="37"/>
      <c r="R474" s="37">
        <f>Q474-G474</f>
        <v>0</v>
      </c>
    </row>
    <row r="475">
      <c r="A475" s="57" t="s">
        <v>462</v>
      </c>
      <c r="B475" s="30" t="s">
        <v>33</v>
      </c>
      <c r="C475" s="84" t="s">
        <v>463</v>
      </c>
      <c r="D475" s="48" t="s">
        <v>162</v>
      </c>
      <c r="E475" s="85">
        <v>1.0</v>
      </c>
      <c r="F475" s="85" t="s">
        <v>163</v>
      </c>
      <c r="G475" s="85" t="s">
        <v>71</v>
      </c>
      <c r="H475" s="137">
        <v>1.0</v>
      </c>
      <c r="I475" s="85">
        <v>1.710004599E9</v>
      </c>
      <c r="J475" s="137" t="s">
        <v>64</v>
      </c>
      <c r="K475" s="87">
        <v>46301.0</v>
      </c>
      <c r="L475" s="86"/>
      <c r="M475" s="86" t="str">
        <f t="shared" si="63"/>
        <v>BELUM PO</v>
      </c>
      <c r="N475" s="85"/>
      <c r="O475" s="57" t="str">
        <f t="shared" si="64"/>
        <v>BELUM DATANG</v>
      </c>
      <c r="P475" s="85"/>
      <c r="Q475" s="85"/>
      <c r="R475" s="137">
        <f>Q475-H475</f>
        <v>-1</v>
      </c>
    </row>
    <row r="476">
      <c r="A476" s="89"/>
      <c r="B476" s="30" t="s">
        <v>33</v>
      </c>
      <c r="C476" s="89"/>
      <c r="D476" s="48" t="s">
        <v>164</v>
      </c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</row>
    <row r="477">
      <c r="A477" s="89"/>
      <c r="B477" s="30" t="s">
        <v>33</v>
      </c>
      <c r="C477" s="89"/>
      <c r="D477" s="48" t="s">
        <v>165</v>
      </c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</row>
    <row r="478">
      <c r="A478" s="89"/>
      <c r="B478" s="30" t="s">
        <v>33</v>
      </c>
      <c r="C478" s="89"/>
      <c r="D478" s="48" t="s">
        <v>166</v>
      </c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</row>
    <row r="479">
      <c r="A479" s="89"/>
      <c r="B479" s="30" t="s">
        <v>33</v>
      </c>
      <c r="C479" s="89"/>
      <c r="D479" s="48" t="s">
        <v>167</v>
      </c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</row>
    <row r="480">
      <c r="A480" s="89"/>
      <c r="B480" s="30" t="s">
        <v>33</v>
      </c>
      <c r="C480" s="89"/>
      <c r="D480" s="48" t="s">
        <v>168</v>
      </c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</row>
    <row r="481">
      <c r="A481" s="89"/>
      <c r="B481" s="30" t="s">
        <v>33</v>
      </c>
      <c r="C481" s="89"/>
      <c r="D481" s="48" t="s">
        <v>169</v>
      </c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</row>
    <row r="482">
      <c r="A482" s="89"/>
      <c r="B482" s="30" t="s">
        <v>33</v>
      </c>
      <c r="C482" s="89"/>
      <c r="D482" s="48" t="s">
        <v>170</v>
      </c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</row>
    <row r="483">
      <c r="A483" s="89"/>
      <c r="B483" s="30" t="s">
        <v>33</v>
      </c>
      <c r="C483" s="89"/>
      <c r="D483" s="48" t="s">
        <v>171</v>
      </c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</row>
    <row r="484">
      <c r="A484" s="18"/>
      <c r="B484" s="30" t="s">
        <v>33</v>
      </c>
      <c r="C484" s="18"/>
      <c r="D484" s="48" t="s">
        <v>172</v>
      </c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</row>
    <row r="485">
      <c r="A485" s="41"/>
      <c r="B485" s="42"/>
      <c r="C485" s="42"/>
      <c r="D485" s="42"/>
      <c r="E485" s="42"/>
      <c r="F485" s="42"/>
      <c r="G485" s="43"/>
      <c r="H485" s="44"/>
      <c r="I485" s="24"/>
      <c r="J485" s="24"/>
      <c r="K485" s="24"/>
      <c r="L485" s="25"/>
      <c r="M485" s="25"/>
      <c r="N485" s="25"/>
      <c r="O485" s="25"/>
      <c r="P485" s="25"/>
      <c r="Q485" s="44"/>
      <c r="R485" s="44"/>
    </row>
    <row r="486">
      <c r="A486" s="33" t="s">
        <v>464</v>
      </c>
      <c r="B486" s="30" t="s">
        <v>24</v>
      </c>
      <c r="C486" s="48" t="s">
        <v>80</v>
      </c>
      <c r="D486" s="96" t="s">
        <v>292</v>
      </c>
      <c r="E486" s="148">
        <v>240.0</v>
      </c>
      <c r="F486" s="38" t="s">
        <v>10</v>
      </c>
      <c r="G486" s="33" t="s">
        <v>71</v>
      </c>
      <c r="H486" s="33">
        <v>240.0</v>
      </c>
      <c r="I486" s="53">
        <v>1.710004599E9</v>
      </c>
      <c r="J486" s="58" t="s">
        <v>64</v>
      </c>
      <c r="K486" s="35">
        <v>46301.0</v>
      </c>
      <c r="L486" s="36"/>
      <c r="M486" s="36" t="str">
        <f t="shared" ref="M486:M500" si="66">IF(LEN(L486)=10,"SUDAH PO",IF(L486="STOK","READY STOK",IF(L486="PL","READY STOK","BELUM PO")))</f>
        <v>BELUM PO</v>
      </c>
      <c r="N486" s="37"/>
      <c r="O486" s="38" t="str">
        <f>IF(H486="STOK","STOK",IF(ISBLANK(P486),"BELUM DATANG",IF(R486=0,"CLOSE","DATANG SEBAGIAN")))</f>
        <v>BELUM DATANG</v>
      </c>
      <c r="P486" s="37"/>
      <c r="Q486" s="37"/>
      <c r="R486" s="37">
        <f t="shared" ref="R486:R491" si="67">Q486-H486</f>
        <v>-240</v>
      </c>
    </row>
    <row r="487">
      <c r="A487" s="38" t="s">
        <v>465</v>
      </c>
      <c r="B487" s="30" t="s">
        <v>34</v>
      </c>
      <c r="C487" s="48" t="s">
        <v>466</v>
      </c>
      <c r="D487" s="97" t="s">
        <v>467</v>
      </c>
      <c r="E487" s="38">
        <v>10.0</v>
      </c>
      <c r="F487" s="38" t="s">
        <v>10</v>
      </c>
      <c r="G487" s="33" t="s">
        <v>71</v>
      </c>
      <c r="H487" s="149">
        <v>10.0</v>
      </c>
      <c r="I487" s="58">
        <v>1.710004599E9</v>
      </c>
      <c r="J487" s="58" t="s">
        <v>64</v>
      </c>
      <c r="K487" s="56">
        <v>46301.0</v>
      </c>
      <c r="L487" s="36"/>
      <c r="M487" s="36" t="str">
        <f t="shared" si="66"/>
        <v>BELUM PO</v>
      </c>
      <c r="N487" s="36"/>
      <c r="O487" s="36" t="str">
        <f t="shared" ref="O487:O488" si="68">IF(H488="STOK","STOK",IF(ISBLANK(P488),"BELUM DATANG",IF(R488=0,"CLOSE","DATANG SEBAGIAN")))</f>
        <v>BELUM DATANG</v>
      </c>
      <c r="P487" s="36"/>
      <c r="Q487" s="37"/>
      <c r="R487" s="37">
        <f t="shared" si="67"/>
        <v>-10</v>
      </c>
    </row>
    <row r="488">
      <c r="A488" s="38" t="s">
        <v>468</v>
      </c>
      <c r="B488" s="30" t="s">
        <v>34</v>
      </c>
      <c r="C488" s="48" t="s">
        <v>469</v>
      </c>
      <c r="D488" s="48" t="s">
        <v>470</v>
      </c>
      <c r="E488" s="38">
        <v>18.0</v>
      </c>
      <c r="F488" s="38" t="s">
        <v>10</v>
      </c>
      <c r="G488" s="32" t="s">
        <v>27</v>
      </c>
      <c r="H488" s="37">
        <v>18.0</v>
      </c>
      <c r="I488" s="34">
        <v>1.710004644E9</v>
      </c>
      <c r="J488" s="56">
        <v>46059.0</v>
      </c>
      <c r="K488" s="56">
        <v>46301.0</v>
      </c>
      <c r="L488" s="36"/>
      <c r="M488" s="36" t="str">
        <f t="shared" si="66"/>
        <v>BELUM PO</v>
      </c>
      <c r="N488" s="36"/>
      <c r="O488" s="36" t="str">
        <f t="shared" si="68"/>
        <v>BELUM DATANG</v>
      </c>
      <c r="P488" s="36"/>
      <c r="Q488" s="37"/>
      <c r="R488" s="37">
        <f t="shared" si="67"/>
        <v>-18</v>
      </c>
    </row>
    <row r="489">
      <c r="A489" s="29" t="s">
        <v>471</v>
      </c>
      <c r="B489" s="30" t="s">
        <v>34</v>
      </c>
      <c r="C489" s="48" t="s">
        <v>472</v>
      </c>
      <c r="D489" s="48" t="s">
        <v>473</v>
      </c>
      <c r="E489" s="33">
        <v>4.0</v>
      </c>
      <c r="F489" s="38" t="s">
        <v>10</v>
      </c>
      <c r="G489" s="40" t="s">
        <v>86</v>
      </c>
      <c r="H489" s="33">
        <v>4.0</v>
      </c>
      <c r="I489" s="33">
        <v>1.710004658E9</v>
      </c>
      <c r="J489" s="56">
        <v>46240.0</v>
      </c>
      <c r="K489" s="56">
        <v>46301.0</v>
      </c>
      <c r="L489" s="36"/>
      <c r="M489" s="36" t="str">
        <f t="shared" si="66"/>
        <v>BELUM PO</v>
      </c>
      <c r="N489" s="36"/>
      <c r="O489" s="36" t="str">
        <f t="shared" ref="O489:O500" si="69">IF(H489="STOK","STOK",IF(ISBLANK(P489),"BELUM DATANG",IF(R489=0,"CLOSE","DATANG SEBAGIAN")))</f>
        <v>BELUM DATANG</v>
      </c>
      <c r="P489" s="36"/>
      <c r="Q489" s="37"/>
      <c r="R489" s="37">
        <f t="shared" si="67"/>
        <v>-4</v>
      </c>
    </row>
    <row r="490">
      <c r="A490" s="33" t="s">
        <v>474</v>
      </c>
      <c r="B490" s="30" t="s">
        <v>34</v>
      </c>
      <c r="C490" s="48" t="s">
        <v>475</v>
      </c>
      <c r="D490" s="48" t="s">
        <v>476</v>
      </c>
      <c r="E490" s="38">
        <v>32.0</v>
      </c>
      <c r="F490" s="38" t="s">
        <v>10</v>
      </c>
      <c r="G490" s="37"/>
      <c r="H490" s="37"/>
      <c r="I490" s="38"/>
      <c r="J490" s="38"/>
      <c r="K490" s="38"/>
      <c r="L490" s="36"/>
      <c r="M490" s="36" t="str">
        <f t="shared" si="66"/>
        <v>BELUM PO</v>
      </c>
      <c r="N490" s="36"/>
      <c r="O490" s="36" t="str">
        <f t="shared" si="69"/>
        <v>BELUM DATANG</v>
      </c>
      <c r="P490" s="36"/>
      <c r="Q490" s="37"/>
      <c r="R490" s="37">
        <f t="shared" si="67"/>
        <v>0</v>
      </c>
    </row>
    <row r="491">
      <c r="A491" s="33" t="s">
        <v>477</v>
      </c>
      <c r="B491" s="30" t="s">
        <v>34</v>
      </c>
      <c r="C491" s="48" t="s">
        <v>478</v>
      </c>
      <c r="D491" s="97" t="s">
        <v>479</v>
      </c>
      <c r="E491" s="38">
        <v>20.0</v>
      </c>
      <c r="F491" s="38" t="s">
        <v>10</v>
      </c>
      <c r="G491" s="37"/>
      <c r="H491" s="33">
        <v>20.0</v>
      </c>
      <c r="I491" s="33">
        <v>1.710004644E9</v>
      </c>
      <c r="J491" s="56">
        <v>46059.0</v>
      </c>
      <c r="K491" s="56">
        <v>46301.0</v>
      </c>
      <c r="L491" s="33">
        <v>7.100003986E9</v>
      </c>
      <c r="M491" s="36" t="str">
        <f t="shared" si="66"/>
        <v>SUDAH PO</v>
      </c>
      <c r="N491" s="56">
        <v>46301.0</v>
      </c>
      <c r="O491" s="36" t="str">
        <f t="shared" si="69"/>
        <v>BELUM DATANG</v>
      </c>
      <c r="P491" s="36"/>
      <c r="Q491" s="37"/>
      <c r="R491" s="37">
        <f t="shared" si="67"/>
        <v>-20</v>
      </c>
    </row>
    <row r="492">
      <c r="A492" s="33" t="s">
        <v>480</v>
      </c>
      <c r="B492" s="30" t="s">
        <v>34</v>
      </c>
      <c r="C492" s="48" t="s">
        <v>481</v>
      </c>
      <c r="D492" s="48" t="s">
        <v>482</v>
      </c>
      <c r="E492" s="38">
        <v>36.0</v>
      </c>
      <c r="F492" s="38" t="s">
        <v>10</v>
      </c>
      <c r="G492" s="37"/>
      <c r="H492" s="33">
        <v>36.0</v>
      </c>
      <c r="I492" s="33">
        <v>1.710004683E9</v>
      </c>
      <c r="J492" s="33" t="s">
        <v>56</v>
      </c>
      <c r="K492" s="36"/>
      <c r="L492" s="36"/>
      <c r="M492" s="36" t="str">
        <f t="shared" si="66"/>
        <v>BELUM PO</v>
      </c>
      <c r="N492" s="36"/>
      <c r="O492" s="36" t="str">
        <f t="shared" si="69"/>
        <v>BELUM DATANG</v>
      </c>
      <c r="P492" s="36"/>
      <c r="Q492" s="37"/>
      <c r="R492" s="37"/>
    </row>
    <row r="493">
      <c r="A493" s="74"/>
      <c r="B493" s="30" t="s">
        <v>34</v>
      </c>
      <c r="C493" s="47" t="s">
        <v>105</v>
      </c>
      <c r="D493" s="47" t="s">
        <v>105</v>
      </c>
      <c r="E493" s="38">
        <v>116.0</v>
      </c>
      <c r="F493" s="38" t="s">
        <v>106</v>
      </c>
      <c r="G493" s="38"/>
      <c r="H493" s="38"/>
      <c r="I493" s="38"/>
      <c r="J493" s="38"/>
      <c r="K493" s="38"/>
      <c r="L493" s="38"/>
      <c r="M493" s="38" t="str">
        <f t="shared" si="66"/>
        <v>BELUM PO</v>
      </c>
      <c r="N493" s="38"/>
      <c r="O493" s="38" t="str">
        <f t="shared" si="69"/>
        <v>BELUM DATANG</v>
      </c>
      <c r="P493" s="38"/>
      <c r="Q493" s="38"/>
      <c r="R493" s="38">
        <f t="shared" ref="R493:R500" si="70">Q493-H493</f>
        <v>0</v>
      </c>
    </row>
    <row r="494">
      <c r="A494" s="38" t="s">
        <v>483</v>
      </c>
      <c r="B494" s="30" t="s">
        <v>34</v>
      </c>
      <c r="C494" s="48" t="s">
        <v>108</v>
      </c>
      <c r="D494" s="48" t="s">
        <v>109</v>
      </c>
      <c r="E494" s="38">
        <v>940.0</v>
      </c>
      <c r="F494" s="38" t="s">
        <v>110</v>
      </c>
      <c r="G494" s="37"/>
      <c r="H494" s="54">
        <v>823.0</v>
      </c>
      <c r="I494" s="53">
        <v>1.710004543E9</v>
      </c>
      <c r="J494" s="58" t="s">
        <v>448</v>
      </c>
      <c r="K494" s="61">
        <v>46331.0</v>
      </c>
      <c r="L494" s="36"/>
      <c r="M494" s="36" t="str">
        <f t="shared" si="66"/>
        <v>BELUM PO</v>
      </c>
      <c r="N494" s="37"/>
      <c r="O494" s="38" t="str">
        <f t="shared" si="69"/>
        <v>BELUM DATANG</v>
      </c>
      <c r="P494" s="37"/>
      <c r="Q494" s="37"/>
      <c r="R494" s="70">
        <f t="shared" si="70"/>
        <v>-823</v>
      </c>
    </row>
    <row r="495">
      <c r="A495" s="38" t="s">
        <v>111</v>
      </c>
      <c r="B495" s="30" t="s">
        <v>34</v>
      </c>
      <c r="C495" s="48" t="s">
        <v>112</v>
      </c>
      <c r="D495" s="48" t="s">
        <v>113</v>
      </c>
      <c r="E495" s="32">
        <v>949.0</v>
      </c>
      <c r="F495" s="32" t="s">
        <v>110</v>
      </c>
      <c r="G495" s="32" t="s">
        <v>71</v>
      </c>
      <c r="H495" s="59">
        <v>949.0</v>
      </c>
      <c r="I495" s="53">
        <v>1.710004599E9</v>
      </c>
      <c r="J495" s="58" t="s">
        <v>64</v>
      </c>
      <c r="K495" s="58" t="s">
        <v>56</v>
      </c>
      <c r="L495" s="36"/>
      <c r="M495" s="36" t="str">
        <f t="shared" si="66"/>
        <v>BELUM PO</v>
      </c>
      <c r="N495" s="37"/>
      <c r="O495" s="38" t="str">
        <f t="shared" si="69"/>
        <v>BELUM DATANG</v>
      </c>
      <c r="P495" s="37"/>
      <c r="Q495" s="37"/>
      <c r="R495" s="70">
        <f t="shared" si="70"/>
        <v>-949</v>
      </c>
    </row>
    <row r="496">
      <c r="A496" s="38" t="s">
        <v>114</v>
      </c>
      <c r="B496" s="30" t="s">
        <v>34</v>
      </c>
      <c r="C496" s="48" t="s">
        <v>115</v>
      </c>
      <c r="D496" s="48" t="s">
        <v>116</v>
      </c>
      <c r="E496" s="32">
        <v>15.0</v>
      </c>
      <c r="F496" s="32" t="s">
        <v>117</v>
      </c>
      <c r="G496" s="32" t="s">
        <v>71</v>
      </c>
      <c r="H496" s="54">
        <v>15.0</v>
      </c>
      <c r="I496" s="37">
        <v>1.710004599E9</v>
      </c>
      <c r="J496" s="38" t="s">
        <v>64</v>
      </c>
      <c r="K496" s="56">
        <v>46301.0</v>
      </c>
      <c r="L496" s="33">
        <v>7.100003978E9</v>
      </c>
      <c r="M496" s="36" t="str">
        <f t="shared" si="66"/>
        <v>SUDAH PO</v>
      </c>
      <c r="N496" s="33" t="s">
        <v>78</v>
      </c>
      <c r="O496" s="38" t="str">
        <f t="shared" si="69"/>
        <v>BELUM DATANG</v>
      </c>
      <c r="P496" s="37"/>
      <c r="Q496" s="37"/>
      <c r="R496" s="70">
        <f t="shared" si="70"/>
        <v>-15</v>
      </c>
    </row>
    <row r="497">
      <c r="A497" s="38" t="s">
        <v>118</v>
      </c>
      <c r="B497" s="30" t="s">
        <v>34</v>
      </c>
      <c r="C497" s="48" t="s">
        <v>119</v>
      </c>
      <c r="D497" s="48" t="s">
        <v>120</v>
      </c>
      <c r="E497" s="32">
        <v>17.0</v>
      </c>
      <c r="F497" s="32" t="s">
        <v>117</v>
      </c>
      <c r="G497" s="32" t="s">
        <v>71</v>
      </c>
      <c r="H497" s="54">
        <v>17.0</v>
      </c>
      <c r="I497" s="53">
        <v>1.710004599E9</v>
      </c>
      <c r="J497" s="58" t="s">
        <v>64</v>
      </c>
      <c r="K497" s="35">
        <v>46301.0</v>
      </c>
      <c r="L497" s="33">
        <v>7.100003946E9</v>
      </c>
      <c r="M497" s="36" t="str">
        <f t="shared" si="66"/>
        <v>SUDAH PO</v>
      </c>
      <c r="N497" s="56">
        <v>46332.0</v>
      </c>
      <c r="O497" s="38" t="str">
        <f t="shared" si="69"/>
        <v>CLOSE</v>
      </c>
      <c r="P497" s="56">
        <v>46118.0</v>
      </c>
      <c r="Q497" s="33">
        <v>17.0</v>
      </c>
      <c r="R497" s="70">
        <f t="shared" si="70"/>
        <v>0</v>
      </c>
    </row>
    <row r="498">
      <c r="A498" s="75" t="s">
        <v>122</v>
      </c>
      <c r="B498" s="30" t="s">
        <v>34</v>
      </c>
      <c r="C498" s="76" t="s">
        <v>123</v>
      </c>
      <c r="D498" s="48" t="s">
        <v>124</v>
      </c>
      <c r="E498" s="32">
        <v>15.0</v>
      </c>
      <c r="F498" s="32" t="s">
        <v>10</v>
      </c>
      <c r="G498" s="32" t="s">
        <v>71</v>
      </c>
      <c r="H498" s="70">
        <v>15.0</v>
      </c>
      <c r="I498" s="53">
        <v>1.710004579E9</v>
      </c>
      <c r="J498" s="61">
        <v>46208.0</v>
      </c>
      <c r="K498" s="33" t="s">
        <v>46</v>
      </c>
      <c r="L498" s="33">
        <v>7.100003944E9</v>
      </c>
      <c r="M498" s="36" t="str">
        <f t="shared" si="66"/>
        <v>SUDAH PO</v>
      </c>
      <c r="N498" s="56">
        <v>46208.0</v>
      </c>
      <c r="O498" s="38" t="str">
        <f t="shared" si="69"/>
        <v>BELUM DATANG</v>
      </c>
      <c r="P498" s="37"/>
      <c r="Q498" s="37"/>
      <c r="R498" s="70">
        <f t="shared" si="70"/>
        <v>-15</v>
      </c>
    </row>
    <row r="499">
      <c r="A499" s="75" t="s">
        <v>129</v>
      </c>
      <c r="B499" s="30" t="s">
        <v>34</v>
      </c>
      <c r="C499" s="76" t="s">
        <v>130</v>
      </c>
      <c r="D499" s="48" t="s">
        <v>131</v>
      </c>
      <c r="E499" s="59">
        <v>50.0</v>
      </c>
      <c r="F499" s="32" t="s">
        <v>10</v>
      </c>
      <c r="G499" s="32" t="s">
        <v>71</v>
      </c>
      <c r="H499" s="70">
        <v>50.0</v>
      </c>
      <c r="I499" s="53">
        <v>1.710004599E9</v>
      </c>
      <c r="J499" s="58" t="s">
        <v>132</v>
      </c>
      <c r="K499" s="58" t="s">
        <v>56</v>
      </c>
      <c r="L499" s="33">
        <v>7.100003944E9</v>
      </c>
      <c r="M499" s="36" t="str">
        <f t="shared" si="66"/>
        <v>SUDAH PO</v>
      </c>
      <c r="N499" s="56">
        <v>46208.0</v>
      </c>
      <c r="O499" s="38" t="str">
        <f t="shared" si="69"/>
        <v>CLOSE</v>
      </c>
      <c r="P499" s="33" t="s">
        <v>128</v>
      </c>
      <c r="Q499" s="33">
        <v>50.0</v>
      </c>
      <c r="R499" s="70">
        <f t="shared" si="70"/>
        <v>0</v>
      </c>
    </row>
    <row r="500">
      <c r="A500" s="46"/>
      <c r="B500" s="30" t="s">
        <v>34</v>
      </c>
      <c r="C500" s="47" t="s">
        <v>138</v>
      </c>
      <c r="D500" s="47" t="s">
        <v>138</v>
      </c>
      <c r="E500" s="38">
        <v>36.0</v>
      </c>
      <c r="F500" s="38" t="s">
        <v>106</v>
      </c>
      <c r="G500" s="37"/>
      <c r="H500" s="37"/>
      <c r="I500" s="37"/>
      <c r="J500" s="37"/>
      <c r="K500" s="37"/>
      <c r="L500" s="36"/>
      <c r="M500" s="36" t="str">
        <f t="shared" si="66"/>
        <v>BELUM PO</v>
      </c>
      <c r="N500" s="37"/>
      <c r="O500" s="38" t="str">
        <f t="shared" si="69"/>
        <v>BELUM DATANG</v>
      </c>
      <c r="P500" s="37"/>
      <c r="Q500" s="37"/>
      <c r="R500" s="37">
        <f t="shared" si="70"/>
        <v>0</v>
      </c>
    </row>
    <row r="501">
      <c r="A501" s="38" t="s">
        <v>484</v>
      </c>
      <c r="B501" s="30" t="s">
        <v>34</v>
      </c>
      <c r="C501" s="48" t="s">
        <v>140</v>
      </c>
      <c r="D501" s="48" t="s">
        <v>109</v>
      </c>
      <c r="E501" s="37">
        <v>455.0</v>
      </c>
      <c r="F501" s="37" t="s">
        <v>110</v>
      </c>
      <c r="G501" s="37"/>
      <c r="H501" s="150" t="s">
        <v>485</v>
      </c>
      <c r="I501" s="151" t="s">
        <v>485</v>
      </c>
      <c r="J501" s="150" t="s">
        <v>485</v>
      </c>
      <c r="K501" s="152" t="s">
        <v>485</v>
      </c>
      <c r="L501" s="153" t="s">
        <v>485</v>
      </c>
      <c r="M501" s="153" t="s">
        <v>485</v>
      </c>
      <c r="N501" s="151" t="s">
        <v>485</v>
      </c>
      <c r="O501" s="152" t="s">
        <v>485</v>
      </c>
      <c r="P501" s="151" t="s">
        <v>485</v>
      </c>
      <c r="Q501" s="151" t="s">
        <v>485</v>
      </c>
      <c r="R501" s="151" t="s">
        <v>485</v>
      </c>
    </row>
    <row r="502">
      <c r="A502" s="38" t="s">
        <v>111</v>
      </c>
      <c r="B502" s="30" t="s">
        <v>34</v>
      </c>
      <c r="C502" s="48" t="s">
        <v>112</v>
      </c>
      <c r="D502" s="48" t="s">
        <v>141</v>
      </c>
      <c r="E502" s="138">
        <v>455.0</v>
      </c>
      <c r="F502" s="124" t="s">
        <v>110</v>
      </c>
      <c r="G502" s="32" t="s">
        <v>27</v>
      </c>
      <c r="H502" s="154">
        <v>455.0</v>
      </c>
      <c r="I502" s="53">
        <v>1.710004599E9</v>
      </c>
      <c r="J502" s="58" t="s">
        <v>64</v>
      </c>
      <c r="K502" s="58" t="s">
        <v>56</v>
      </c>
      <c r="L502" s="36"/>
      <c r="M502" s="36" t="str">
        <f t="shared" ref="M502:M512" si="71">IF(LEN(L502)=10,"SUDAH PO",IF(L502="STOK","READY STOK",IF(L502="PL","READY STOK","BELUM PO")))</f>
        <v>BELUM PO</v>
      </c>
      <c r="N502" s="37"/>
      <c r="O502" s="38" t="str">
        <f t="shared" ref="O502:O512" si="72">IF(H502="STOK","STOK",IF(ISBLANK(P502),"BELUM DATANG",IF(R502=0,"CLOSE","DATANG SEBAGIAN")))</f>
        <v>BELUM DATANG</v>
      </c>
      <c r="P502" s="37"/>
      <c r="Q502" s="37"/>
      <c r="R502" s="70">
        <f t="shared" ref="R502:R510" si="73">Q502-H502</f>
        <v>-455</v>
      </c>
    </row>
    <row r="503">
      <c r="A503" s="38" t="s">
        <v>114</v>
      </c>
      <c r="B503" s="30" t="s">
        <v>34</v>
      </c>
      <c r="C503" s="48" t="s">
        <v>115</v>
      </c>
      <c r="D503" s="48" t="s">
        <v>116</v>
      </c>
      <c r="E503" s="155">
        <v>36.0</v>
      </c>
      <c r="F503" s="32" t="s">
        <v>117</v>
      </c>
      <c r="G503" s="32" t="s">
        <v>71</v>
      </c>
      <c r="H503" s="69">
        <v>36.0</v>
      </c>
      <c r="I503" s="37">
        <v>1.710004599E9</v>
      </c>
      <c r="J503" s="38" t="s">
        <v>64</v>
      </c>
      <c r="K503" s="56">
        <v>46301.0</v>
      </c>
      <c r="L503" s="33">
        <v>7.100003978E9</v>
      </c>
      <c r="M503" s="36" t="str">
        <f t="shared" si="71"/>
        <v>SUDAH PO</v>
      </c>
      <c r="N503" s="33" t="s">
        <v>78</v>
      </c>
      <c r="O503" s="38" t="str">
        <f t="shared" si="72"/>
        <v>BELUM DATANG</v>
      </c>
      <c r="P503" s="37"/>
      <c r="Q503" s="37"/>
      <c r="R503" s="70">
        <f t="shared" si="73"/>
        <v>-36</v>
      </c>
    </row>
    <row r="504">
      <c r="A504" s="38" t="s">
        <v>118</v>
      </c>
      <c r="B504" s="30" t="s">
        <v>34</v>
      </c>
      <c r="C504" s="48" t="s">
        <v>119</v>
      </c>
      <c r="D504" s="48" t="s">
        <v>142</v>
      </c>
      <c r="E504" s="32">
        <v>38.0</v>
      </c>
      <c r="F504" s="32" t="s">
        <v>117</v>
      </c>
      <c r="G504" s="32" t="s">
        <v>71</v>
      </c>
      <c r="H504" s="70">
        <v>38.0</v>
      </c>
      <c r="I504" s="53">
        <v>1.710004599E9</v>
      </c>
      <c r="J504" s="58" t="s">
        <v>64</v>
      </c>
      <c r="K504" s="35">
        <v>46301.0</v>
      </c>
      <c r="L504" s="33">
        <v>7.100003946E9</v>
      </c>
      <c r="M504" s="36" t="str">
        <f t="shared" si="71"/>
        <v>SUDAH PO</v>
      </c>
      <c r="N504" s="56">
        <v>46332.0</v>
      </c>
      <c r="O504" s="38" t="str">
        <f t="shared" si="72"/>
        <v>CLOSE</v>
      </c>
      <c r="P504" s="56">
        <v>46118.0</v>
      </c>
      <c r="Q504" s="33">
        <v>38.0</v>
      </c>
      <c r="R504" s="70">
        <f t="shared" si="73"/>
        <v>0</v>
      </c>
    </row>
    <row r="505">
      <c r="A505" s="37" t="s">
        <v>486</v>
      </c>
      <c r="B505" s="30" t="s">
        <v>34</v>
      </c>
      <c r="C505" s="48" t="s">
        <v>63</v>
      </c>
      <c r="D505" s="48" t="s">
        <v>63</v>
      </c>
      <c r="E505" s="38">
        <v>6.0</v>
      </c>
      <c r="F505" s="38" t="s">
        <v>10</v>
      </c>
      <c r="G505" s="37"/>
      <c r="H505" s="37">
        <v>6.0</v>
      </c>
      <c r="I505" s="53">
        <v>1.710004543E9</v>
      </c>
      <c r="J505" s="55" t="s">
        <v>45</v>
      </c>
      <c r="K505" s="61">
        <v>46331.0</v>
      </c>
      <c r="L505" s="36">
        <v>7.1000039E9</v>
      </c>
      <c r="M505" s="36" t="str">
        <f t="shared" si="71"/>
        <v>SUDAH PO</v>
      </c>
      <c r="N505" s="37" t="s">
        <v>55</v>
      </c>
      <c r="O505" s="38" t="str">
        <f t="shared" si="72"/>
        <v>CLOSE</v>
      </c>
      <c r="P505" s="37" t="s">
        <v>64</v>
      </c>
      <c r="Q505" s="37">
        <v>6.0</v>
      </c>
      <c r="R505" s="37">
        <f t="shared" si="73"/>
        <v>0</v>
      </c>
    </row>
    <row r="506">
      <c r="A506" s="38" t="s">
        <v>487</v>
      </c>
      <c r="B506" s="30" t="s">
        <v>34</v>
      </c>
      <c r="C506" s="48" t="s">
        <v>67</v>
      </c>
      <c r="D506" s="48" t="s">
        <v>67</v>
      </c>
      <c r="E506" s="37">
        <v>11.0</v>
      </c>
      <c r="F506" s="37" t="s">
        <v>10</v>
      </c>
      <c r="G506" s="37"/>
      <c r="H506" s="70">
        <v>11.0</v>
      </c>
      <c r="I506" s="53">
        <v>1.710004599E9</v>
      </c>
      <c r="J506" s="54" t="s">
        <v>132</v>
      </c>
      <c r="K506" s="58" t="s">
        <v>56</v>
      </c>
      <c r="L506" s="36"/>
      <c r="M506" s="36" t="str">
        <f t="shared" si="71"/>
        <v>BELUM PO</v>
      </c>
      <c r="N506" s="37"/>
      <c r="O506" s="38" t="str">
        <f t="shared" si="72"/>
        <v>BELUM DATANG</v>
      </c>
      <c r="P506" s="37"/>
      <c r="Q506" s="37"/>
      <c r="R506" s="70">
        <f t="shared" si="73"/>
        <v>-11</v>
      </c>
    </row>
    <row r="507">
      <c r="A507" s="75" t="s">
        <v>285</v>
      </c>
      <c r="B507" s="30" t="s">
        <v>37</v>
      </c>
      <c r="C507" s="48" t="s">
        <v>488</v>
      </c>
      <c r="D507" s="48" t="s">
        <v>287</v>
      </c>
      <c r="E507" s="33">
        <v>8.0</v>
      </c>
      <c r="F507" s="37" t="s">
        <v>10</v>
      </c>
      <c r="G507" s="37"/>
      <c r="H507" s="156">
        <v>8.0</v>
      </c>
      <c r="I507" s="53">
        <v>1.710004599E9</v>
      </c>
      <c r="J507" s="58" t="s">
        <v>64</v>
      </c>
      <c r="K507" s="35">
        <v>46301.0</v>
      </c>
      <c r="L507" s="36"/>
      <c r="M507" s="36" t="str">
        <f t="shared" si="71"/>
        <v>BELUM PO</v>
      </c>
      <c r="N507" s="37"/>
      <c r="O507" s="38" t="str">
        <f t="shared" si="72"/>
        <v>BELUM DATANG</v>
      </c>
      <c r="P507" s="37"/>
      <c r="Q507" s="37"/>
      <c r="R507" s="70">
        <f t="shared" si="73"/>
        <v>-8</v>
      </c>
    </row>
    <row r="508">
      <c r="A508" s="75" t="s">
        <v>285</v>
      </c>
      <c r="B508" s="30" t="s">
        <v>177</v>
      </c>
      <c r="C508" s="48" t="s">
        <v>488</v>
      </c>
      <c r="D508" s="48" t="s">
        <v>287</v>
      </c>
      <c r="E508" s="33">
        <v>8.0</v>
      </c>
      <c r="F508" s="37" t="s">
        <v>10</v>
      </c>
      <c r="G508" s="37"/>
      <c r="H508" s="156">
        <v>8.0</v>
      </c>
      <c r="I508" s="53">
        <v>1.710004599E9</v>
      </c>
      <c r="J508" s="58" t="s">
        <v>64</v>
      </c>
      <c r="K508" s="35">
        <v>46301.0</v>
      </c>
      <c r="L508" s="36"/>
      <c r="M508" s="36" t="str">
        <f t="shared" si="71"/>
        <v>BELUM PO</v>
      </c>
      <c r="N508" s="37"/>
      <c r="O508" s="38" t="str">
        <f t="shared" si="72"/>
        <v>BELUM DATANG</v>
      </c>
      <c r="P508" s="37"/>
      <c r="Q508" s="37"/>
      <c r="R508" s="70">
        <f t="shared" si="73"/>
        <v>-8</v>
      </c>
    </row>
    <row r="509">
      <c r="A509" s="38" t="s">
        <v>489</v>
      </c>
      <c r="B509" s="30" t="s">
        <v>34</v>
      </c>
      <c r="C509" s="48" t="s">
        <v>74</v>
      </c>
      <c r="D509" s="48" t="s">
        <v>74</v>
      </c>
      <c r="E509" s="70">
        <v>38.0</v>
      </c>
      <c r="F509" s="37" t="s">
        <v>10</v>
      </c>
      <c r="G509" s="37"/>
      <c r="H509" s="70">
        <v>38.0</v>
      </c>
      <c r="I509" s="53" t="s">
        <v>453</v>
      </c>
      <c r="J509" s="58" t="s">
        <v>453</v>
      </c>
      <c r="K509" s="58" t="s">
        <v>453</v>
      </c>
      <c r="L509" s="55" t="s">
        <v>453</v>
      </c>
      <c r="M509" s="36" t="str">
        <f t="shared" si="71"/>
        <v>BELUM PO</v>
      </c>
      <c r="N509" s="37"/>
      <c r="O509" s="38" t="str">
        <f t="shared" si="72"/>
        <v>BELUM DATANG</v>
      </c>
      <c r="P509" s="37"/>
      <c r="Q509" s="37">
        <v>38.0</v>
      </c>
      <c r="R509" s="70">
        <f t="shared" si="73"/>
        <v>0</v>
      </c>
    </row>
    <row r="510">
      <c r="A510" s="38" t="s">
        <v>150</v>
      </c>
      <c r="B510" s="30" t="s">
        <v>34</v>
      </c>
      <c r="C510" s="48" t="s">
        <v>151</v>
      </c>
      <c r="D510" s="48" t="s">
        <v>152</v>
      </c>
      <c r="E510" s="38">
        <v>42.0</v>
      </c>
      <c r="F510" s="37" t="s">
        <v>44</v>
      </c>
      <c r="G510" s="37"/>
      <c r="H510" s="81">
        <f>E510/2.4</f>
        <v>17.5</v>
      </c>
      <c r="I510" s="53">
        <v>1.710004543E9</v>
      </c>
      <c r="J510" s="58" t="s">
        <v>45</v>
      </c>
      <c r="K510" s="55">
        <v>46331.0</v>
      </c>
      <c r="L510" s="33">
        <v>7.100003899E9</v>
      </c>
      <c r="M510" s="36" t="str">
        <f t="shared" si="71"/>
        <v>SUDAH PO</v>
      </c>
      <c r="N510" s="33" t="s">
        <v>153</v>
      </c>
      <c r="O510" s="38" t="str">
        <f t="shared" si="72"/>
        <v>DATANG SEBAGIAN</v>
      </c>
      <c r="P510" s="56">
        <v>46239.0</v>
      </c>
      <c r="Q510" s="33">
        <v>18.0</v>
      </c>
      <c r="R510" s="70">
        <f t="shared" si="73"/>
        <v>0.5</v>
      </c>
    </row>
    <row r="511">
      <c r="A511" s="82" t="s">
        <v>155</v>
      </c>
      <c r="B511" s="30" t="s">
        <v>34</v>
      </c>
      <c r="C511" s="48" t="s">
        <v>156</v>
      </c>
      <c r="D511" s="48" t="s">
        <v>157</v>
      </c>
      <c r="E511" s="38">
        <v>22.0</v>
      </c>
      <c r="F511" s="38" t="s">
        <v>10</v>
      </c>
      <c r="G511" s="37"/>
      <c r="H511" s="83" t="s">
        <v>158</v>
      </c>
      <c r="I511" s="37"/>
      <c r="J511" s="38"/>
      <c r="K511" s="38"/>
      <c r="L511" s="33" t="s">
        <v>159</v>
      </c>
      <c r="M511" s="36" t="str">
        <f t="shared" si="71"/>
        <v>READY STOK</v>
      </c>
      <c r="N511" s="37"/>
      <c r="O511" s="38" t="str">
        <f t="shared" si="72"/>
        <v>BELUM DATANG</v>
      </c>
      <c r="P511" s="37"/>
      <c r="Q511" s="37"/>
      <c r="R511" s="37">
        <f>Q511-G511</f>
        <v>0</v>
      </c>
    </row>
    <row r="512">
      <c r="A512" s="57" t="s">
        <v>490</v>
      </c>
      <c r="B512" s="30" t="s">
        <v>34</v>
      </c>
      <c r="C512" s="84" t="s">
        <v>491</v>
      </c>
      <c r="D512" s="48" t="s">
        <v>162</v>
      </c>
      <c r="E512" s="57">
        <v>1.0</v>
      </c>
      <c r="F512" s="57" t="s">
        <v>163</v>
      </c>
      <c r="G512" s="85" t="s">
        <v>71</v>
      </c>
      <c r="H512" s="137">
        <v>1.0</v>
      </c>
      <c r="I512" s="86">
        <v>1.710004599E9</v>
      </c>
      <c r="J512" s="86" t="s">
        <v>64</v>
      </c>
      <c r="K512" s="87">
        <v>46301.0</v>
      </c>
      <c r="L512" s="86"/>
      <c r="M512" s="86" t="str">
        <f t="shared" si="71"/>
        <v>BELUM PO</v>
      </c>
      <c r="N512" s="85"/>
      <c r="O512" s="57" t="str">
        <f t="shared" si="72"/>
        <v>BELUM DATANG</v>
      </c>
      <c r="P512" s="85"/>
      <c r="Q512" s="85"/>
      <c r="R512" s="137">
        <f>Q512-H512</f>
        <v>-1</v>
      </c>
    </row>
    <row r="513">
      <c r="A513" s="89"/>
      <c r="B513" s="30" t="s">
        <v>34</v>
      </c>
      <c r="C513" s="89"/>
      <c r="D513" s="48" t="s">
        <v>164</v>
      </c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</row>
    <row r="514">
      <c r="A514" s="89"/>
      <c r="B514" s="30" t="s">
        <v>34</v>
      </c>
      <c r="C514" s="89"/>
      <c r="D514" s="48" t="s">
        <v>165</v>
      </c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</row>
    <row r="515">
      <c r="A515" s="89"/>
      <c r="B515" s="30" t="s">
        <v>34</v>
      </c>
      <c r="C515" s="89"/>
      <c r="D515" s="48" t="s">
        <v>166</v>
      </c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</row>
    <row r="516">
      <c r="A516" s="89"/>
      <c r="B516" s="30" t="s">
        <v>34</v>
      </c>
      <c r="C516" s="89"/>
      <c r="D516" s="48" t="s">
        <v>167</v>
      </c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</row>
    <row r="517">
      <c r="A517" s="89"/>
      <c r="B517" s="30" t="s">
        <v>34</v>
      </c>
      <c r="C517" s="89"/>
      <c r="D517" s="48" t="s">
        <v>168</v>
      </c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</row>
    <row r="518">
      <c r="A518" s="89"/>
      <c r="B518" s="30" t="s">
        <v>34</v>
      </c>
      <c r="C518" s="89"/>
      <c r="D518" s="48" t="s">
        <v>169</v>
      </c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</row>
    <row r="519">
      <c r="A519" s="89"/>
      <c r="B519" s="30" t="s">
        <v>34</v>
      </c>
      <c r="C519" s="89"/>
      <c r="D519" s="48" t="s">
        <v>170</v>
      </c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</row>
    <row r="520">
      <c r="A520" s="89"/>
      <c r="B520" s="30" t="s">
        <v>34</v>
      </c>
      <c r="C520" s="89"/>
      <c r="D520" s="48" t="s">
        <v>171</v>
      </c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</row>
    <row r="521">
      <c r="A521" s="18"/>
      <c r="B521" s="30" t="s">
        <v>34</v>
      </c>
      <c r="C521" s="18"/>
      <c r="D521" s="48" t="s">
        <v>172</v>
      </c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</row>
    <row r="522">
      <c r="A522" s="41"/>
      <c r="B522" s="20"/>
      <c r="C522" s="42"/>
      <c r="D522" s="42"/>
      <c r="E522" s="42"/>
      <c r="F522" s="42"/>
      <c r="G522" s="43"/>
      <c r="H522" s="145"/>
      <c r="I522" s="44"/>
      <c r="J522" s="24"/>
      <c r="K522" s="24"/>
      <c r="L522" s="25"/>
      <c r="M522" s="25"/>
      <c r="N522" s="44"/>
      <c r="O522" s="24"/>
      <c r="P522" s="44"/>
      <c r="Q522" s="44"/>
      <c r="R522" s="44"/>
    </row>
    <row r="523">
      <c r="A523" s="38" t="s">
        <v>492</v>
      </c>
      <c r="B523" s="30" t="s">
        <v>35</v>
      </c>
      <c r="C523" s="48" t="s">
        <v>53</v>
      </c>
      <c r="D523" s="48" t="s">
        <v>292</v>
      </c>
      <c r="E523" s="70">
        <v>4.0</v>
      </c>
      <c r="F523" s="38" t="s">
        <v>10</v>
      </c>
      <c r="G523" s="33" t="s">
        <v>71</v>
      </c>
      <c r="H523" s="70">
        <v>4.0</v>
      </c>
      <c r="I523" s="53">
        <v>1.710004599E9</v>
      </c>
      <c r="J523" s="58" t="s">
        <v>64</v>
      </c>
      <c r="K523" s="56">
        <v>46301.0</v>
      </c>
      <c r="L523" s="36"/>
      <c r="M523" s="36" t="str">
        <f t="shared" ref="M523:M529" si="74">IF(LEN(L523)=10,"SUDAH PO",IF(L523="STOK","READY STOK",IF(L523="PL","READY STOK","BELUM PO")))</f>
        <v>BELUM PO</v>
      </c>
      <c r="N523" s="37"/>
      <c r="O523" s="38" t="str">
        <f t="shared" ref="O523:O529" si="75">IF(H523="STOK","STOK",IF(ISBLANK(P523),"BELUM DATANG",IF(R523=0,"CLOSE","DATANG SEBAGIAN")))</f>
        <v>BELUM DATANG</v>
      </c>
      <c r="P523" s="37"/>
      <c r="Q523" s="37"/>
      <c r="R523" s="70">
        <f t="shared" ref="R523:R529" si="76">Q523-H523</f>
        <v>-4</v>
      </c>
    </row>
    <row r="524">
      <c r="A524" s="29" t="s">
        <v>493</v>
      </c>
      <c r="B524" s="30" t="s">
        <v>35</v>
      </c>
      <c r="C524" s="48" t="s">
        <v>53</v>
      </c>
      <c r="D524" s="48" t="s">
        <v>296</v>
      </c>
      <c r="E524" s="70">
        <v>2.0</v>
      </c>
      <c r="F524" s="38" t="s">
        <v>10</v>
      </c>
      <c r="G524" s="32" t="s">
        <v>71</v>
      </c>
      <c r="H524" s="69">
        <v>2.0</v>
      </c>
      <c r="I524" s="33">
        <v>1.710004658E9</v>
      </c>
      <c r="J524" s="56">
        <v>46240.0</v>
      </c>
      <c r="K524" s="56">
        <v>46301.0</v>
      </c>
      <c r="L524" s="36"/>
      <c r="M524" s="36" t="str">
        <f t="shared" si="74"/>
        <v>BELUM PO</v>
      </c>
      <c r="N524" s="37"/>
      <c r="O524" s="38" t="str">
        <f t="shared" si="75"/>
        <v>BELUM DATANG</v>
      </c>
      <c r="P524" s="37"/>
      <c r="Q524" s="37"/>
      <c r="R524" s="70">
        <f t="shared" si="76"/>
        <v>-2</v>
      </c>
    </row>
    <row r="525">
      <c r="A525" s="38" t="s">
        <v>494</v>
      </c>
      <c r="B525" s="30" t="s">
        <v>35</v>
      </c>
      <c r="C525" s="48" t="s">
        <v>53</v>
      </c>
      <c r="D525" s="48" t="s">
        <v>495</v>
      </c>
      <c r="E525" s="70">
        <v>19.0</v>
      </c>
      <c r="F525" s="38" t="s">
        <v>10</v>
      </c>
      <c r="G525" s="37"/>
      <c r="H525" s="70">
        <v>19.0</v>
      </c>
      <c r="I525" s="37">
        <v>1.710004599E9</v>
      </c>
      <c r="J525" s="38" t="s">
        <v>64</v>
      </c>
      <c r="K525" s="38" t="s">
        <v>56</v>
      </c>
      <c r="L525" s="36"/>
      <c r="M525" s="36" t="str">
        <f t="shared" si="74"/>
        <v>BELUM PO</v>
      </c>
      <c r="N525" s="37"/>
      <c r="O525" s="38" t="str">
        <f t="shared" si="75"/>
        <v>BELUM DATANG</v>
      </c>
      <c r="P525" s="37"/>
      <c r="Q525" s="37"/>
      <c r="R525" s="70">
        <f t="shared" si="76"/>
        <v>-19</v>
      </c>
    </row>
    <row r="526">
      <c r="A526" s="38" t="s">
        <v>496</v>
      </c>
      <c r="B526" s="30" t="s">
        <v>35</v>
      </c>
      <c r="C526" s="48" t="s">
        <v>53</v>
      </c>
      <c r="D526" s="48" t="s">
        <v>497</v>
      </c>
      <c r="E526" s="70">
        <v>12.0</v>
      </c>
      <c r="F526" s="38" t="s">
        <v>10</v>
      </c>
      <c r="G526" s="37"/>
      <c r="H526" s="70">
        <v>12.0</v>
      </c>
      <c r="I526" s="37">
        <v>1.710004599E9</v>
      </c>
      <c r="J526" s="38" t="s">
        <v>64</v>
      </c>
      <c r="K526" s="56">
        <v>46301.0</v>
      </c>
      <c r="L526" s="33">
        <v>7.100003986E9</v>
      </c>
      <c r="M526" s="36" t="str">
        <f t="shared" si="74"/>
        <v>SUDAH PO</v>
      </c>
      <c r="N526" s="56">
        <v>46301.0</v>
      </c>
      <c r="O526" s="38" t="str">
        <f t="shared" si="75"/>
        <v>BELUM DATANG</v>
      </c>
      <c r="P526" s="37"/>
      <c r="Q526" s="37"/>
      <c r="R526" s="70">
        <f t="shared" si="76"/>
        <v>-12</v>
      </c>
    </row>
    <row r="527">
      <c r="A527" s="33" t="s">
        <v>498</v>
      </c>
      <c r="B527" s="30" t="s">
        <v>35</v>
      </c>
      <c r="C527" s="48" t="s">
        <v>53</v>
      </c>
      <c r="D527" s="48" t="s">
        <v>499</v>
      </c>
      <c r="E527" s="70">
        <v>10.0</v>
      </c>
      <c r="F527" s="38" t="s">
        <v>10</v>
      </c>
      <c r="G527" s="37"/>
      <c r="H527" s="69">
        <v>10.0</v>
      </c>
      <c r="I527" s="33">
        <v>1.710004658E9</v>
      </c>
      <c r="J527" s="56">
        <v>46240.0</v>
      </c>
      <c r="K527" s="56">
        <v>46301.0</v>
      </c>
      <c r="L527" s="36"/>
      <c r="M527" s="36" t="str">
        <f t="shared" si="74"/>
        <v>BELUM PO</v>
      </c>
      <c r="N527" s="37"/>
      <c r="O527" s="38" t="str">
        <f t="shared" si="75"/>
        <v>BELUM DATANG</v>
      </c>
      <c r="P527" s="37"/>
      <c r="Q527" s="37"/>
      <c r="R527" s="70">
        <f t="shared" si="76"/>
        <v>-10</v>
      </c>
    </row>
    <row r="528">
      <c r="A528" s="38" t="s">
        <v>500</v>
      </c>
      <c r="B528" s="30" t="s">
        <v>35</v>
      </c>
      <c r="C528" s="48" t="s">
        <v>53</v>
      </c>
      <c r="D528" s="48" t="s">
        <v>501</v>
      </c>
      <c r="E528" s="70">
        <v>8.0</v>
      </c>
      <c r="F528" s="38" t="s">
        <v>10</v>
      </c>
      <c r="G528" s="37"/>
      <c r="H528" s="70">
        <v>8.0</v>
      </c>
      <c r="I528" s="37">
        <v>1.710004599E9</v>
      </c>
      <c r="J528" s="38" t="s">
        <v>64</v>
      </c>
      <c r="K528" s="56">
        <v>46301.0</v>
      </c>
      <c r="L528" s="33">
        <v>7.100003986E9</v>
      </c>
      <c r="M528" s="36" t="str">
        <f t="shared" si="74"/>
        <v>SUDAH PO</v>
      </c>
      <c r="N528" s="56">
        <v>46301.0</v>
      </c>
      <c r="O528" s="38" t="str">
        <f t="shared" si="75"/>
        <v>BELUM DATANG</v>
      </c>
      <c r="P528" s="37"/>
      <c r="Q528" s="37"/>
      <c r="R528" s="70">
        <f t="shared" si="76"/>
        <v>-8</v>
      </c>
    </row>
    <row r="529">
      <c r="A529" s="29" t="s">
        <v>502</v>
      </c>
      <c r="B529" s="30" t="s">
        <v>36</v>
      </c>
      <c r="C529" s="97" t="s">
        <v>80</v>
      </c>
      <c r="D529" s="48" t="s">
        <v>501</v>
      </c>
      <c r="E529" s="69">
        <v>14.0</v>
      </c>
      <c r="F529" s="38" t="s">
        <v>10</v>
      </c>
      <c r="G529" s="37"/>
      <c r="H529" s="69">
        <v>14.0</v>
      </c>
      <c r="I529" s="33">
        <v>1.710004599E9</v>
      </c>
      <c r="J529" s="38" t="s">
        <v>64</v>
      </c>
      <c r="K529" s="56">
        <v>46301.0</v>
      </c>
      <c r="L529" s="33">
        <v>7.100003986E9</v>
      </c>
      <c r="M529" s="36" t="str">
        <f t="shared" si="74"/>
        <v>SUDAH PO</v>
      </c>
      <c r="N529" s="56">
        <v>46301.0</v>
      </c>
      <c r="O529" s="38" t="str">
        <f t="shared" si="75"/>
        <v>BELUM DATANG</v>
      </c>
      <c r="P529" s="37"/>
      <c r="Q529" s="37"/>
      <c r="R529" s="70">
        <f t="shared" si="76"/>
        <v>-14</v>
      </c>
    </row>
    <row r="530">
      <c r="A530" s="74"/>
      <c r="B530" s="30" t="s">
        <v>35</v>
      </c>
      <c r="C530" s="47" t="s">
        <v>105</v>
      </c>
      <c r="D530" s="47" t="s">
        <v>105</v>
      </c>
      <c r="E530" s="70">
        <v>55.0</v>
      </c>
      <c r="F530" s="38" t="s">
        <v>106</v>
      </c>
      <c r="G530" s="37"/>
      <c r="H530" s="70"/>
      <c r="I530" s="37"/>
      <c r="J530" s="38"/>
      <c r="K530" s="38"/>
      <c r="L530" s="36"/>
      <c r="M530" s="36"/>
      <c r="N530" s="37"/>
      <c r="O530" s="38"/>
      <c r="P530" s="37"/>
      <c r="Q530" s="37"/>
      <c r="R530" s="37"/>
    </row>
    <row r="531">
      <c r="A531" s="38" t="s">
        <v>503</v>
      </c>
      <c r="B531" s="30" t="s">
        <v>35</v>
      </c>
      <c r="C531" s="48" t="s">
        <v>108</v>
      </c>
      <c r="D531" s="48" t="s">
        <v>109</v>
      </c>
      <c r="E531" s="134">
        <v>928.0</v>
      </c>
      <c r="F531" s="50" t="s">
        <v>110</v>
      </c>
      <c r="G531" s="157" t="s">
        <v>71</v>
      </c>
      <c r="H531" s="150" t="s">
        <v>485</v>
      </c>
      <c r="I531" s="151" t="s">
        <v>485</v>
      </c>
      <c r="J531" s="152" t="s">
        <v>485</v>
      </c>
      <c r="K531" s="152" t="s">
        <v>485</v>
      </c>
      <c r="L531" s="153" t="s">
        <v>485</v>
      </c>
      <c r="M531" s="153" t="s">
        <v>485</v>
      </c>
      <c r="N531" s="151" t="s">
        <v>485</v>
      </c>
      <c r="O531" s="152" t="s">
        <v>485</v>
      </c>
      <c r="P531" s="151" t="s">
        <v>485</v>
      </c>
      <c r="Q531" s="151" t="s">
        <v>485</v>
      </c>
      <c r="R531" s="151" t="s">
        <v>485</v>
      </c>
    </row>
    <row r="532">
      <c r="A532" s="38" t="s">
        <v>111</v>
      </c>
      <c r="B532" s="30" t="s">
        <v>35</v>
      </c>
      <c r="C532" s="48" t="s">
        <v>112</v>
      </c>
      <c r="D532" s="48" t="s">
        <v>113</v>
      </c>
      <c r="E532" s="154">
        <v>928.0</v>
      </c>
      <c r="F532" s="32" t="s">
        <v>110</v>
      </c>
      <c r="G532" s="32" t="s">
        <v>71</v>
      </c>
      <c r="H532" s="154">
        <v>928.0</v>
      </c>
      <c r="I532" s="53">
        <v>1.710004599E9</v>
      </c>
      <c r="J532" s="58" t="s">
        <v>64</v>
      </c>
      <c r="K532" s="58" t="s">
        <v>56</v>
      </c>
      <c r="L532" s="36"/>
      <c r="M532" s="36" t="str">
        <f t="shared" ref="M532:M547" si="77">IF(LEN(L532)=10,"SUDAH PO",IF(L532="STOK","READY STOK",IF(L532="PL","READY STOK","BELUM PO")))</f>
        <v>BELUM PO</v>
      </c>
      <c r="N532" s="37"/>
      <c r="O532" s="38" t="str">
        <f t="shared" ref="O532:O547" si="78">IF(H532="STOK","STOK",IF(ISBLANK(P532),"BELUM DATANG",IF(R532=0,"CLOSE","DATANG SEBAGIAN")))</f>
        <v>BELUM DATANG</v>
      </c>
      <c r="P532" s="37"/>
      <c r="Q532" s="37"/>
      <c r="R532" s="70">
        <f t="shared" ref="R532:R537" si="79">Q532-H532</f>
        <v>-928</v>
      </c>
    </row>
    <row r="533">
      <c r="A533" s="38" t="s">
        <v>114</v>
      </c>
      <c r="B533" s="30" t="s">
        <v>35</v>
      </c>
      <c r="C533" s="48" t="s">
        <v>115</v>
      </c>
      <c r="D533" s="48" t="s">
        <v>116</v>
      </c>
      <c r="E533" s="59">
        <v>15.0</v>
      </c>
      <c r="F533" s="32" t="s">
        <v>117</v>
      </c>
      <c r="G533" s="32" t="s">
        <v>71</v>
      </c>
      <c r="H533" s="70">
        <v>15.0</v>
      </c>
      <c r="I533" s="37">
        <v>1.710004599E9</v>
      </c>
      <c r="J533" s="38" t="s">
        <v>64</v>
      </c>
      <c r="K533" s="56">
        <v>46301.0</v>
      </c>
      <c r="L533" s="33">
        <v>7.100003978E9</v>
      </c>
      <c r="M533" s="36" t="str">
        <f t="shared" si="77"/>
        <v>SUDAH PO</v>
      </c>
      <c r="N533" s="33" t="s">
        <v>78</v>
      </c>
      <c r="O533" s="38" t="str">
        <f t="shared" si="78"/>
        <v>BELUM DATANG</v>
      </c>
      <c r="P533" s="37"/>
      <c r="Q533" s="37"/>
      <c r="R533" s="70">
        <f t="shared" si="79"/>
        <v>-15</v>
      </c>
    </row>
    <row r="534">
      <c r="A534" s="38" t="s">
        <v>118</v>
      </c>
      <c r="B534" s="30" t="s">
        <v>35</v>
      </c>
      <c r="C534" s="48" t="s">
        <v>119</v>
      </c>
      <c r="D534" s="48" t="s">
        <v>120</v>
      </c>
      <c r="E534" s="59">
        <v>14.0</v>
      </c>
      <c r="F534" s="32" t="s">
        <v>117</v>
      </c>
      <c r="G534" s="32" t="s">
        <v>71</v>
      </c>
      <c r="H534" s="54">
        <v>14.0</v>
      </c>
      <c r="I534" s="53">
        <v>1.710004599E9</v>
      </c>
      <c r="J534" s="58" t="s">
        <v>64</v>
      </c>
      <c r="K534" s="35">
        <v>46301.0</v>
      </c>
      <c r="L534" s="33">
        <v>7.100003946E9</v>
      </c>
      <c r="M534" s="36" t="str">
        <f t="shared" si="77"/>
        <v>SUDAH PO</v>
      </c>
      <c r="N534" s="56">
        <v>46332.0</v>
      </c>
      <c r="O534" s="38" t="str">
        <f t="shared" si="78"/>
        <v>CLOSE</v>
      </c>
      <c r="P534" s="56">
        <v>46118.0</v>
      </c>
      <c r="Q534" s="33">
        <v>14.0</v>
      </c>
      <c r="R534" s="70">
        <f t="shared" si="79"/>
        <v>0</v>
      </c>
    </row>
    <row r="535">
      <c r="A535" s="75" t="s">
        <v>122</v>
      </c>
      <c r="B535" s="30" t="s">
        <v>35</v>
      </c>
      <c r="C535" s="76" t="s">
        <v>123</v>
      </c>
      <c r="D535" s="48" t="s">
        <v>124</v>
      </c>
      <c r="E535" s="59">
        <v>10.0</v>
      </c>
      <c r="F535" s="32" t="s">
        <v>10</v>
      </c>
      <c r="G535" s="32" t="s">
        <v>71</v>
      </c>
      <c r="H535" s="70">
        <v>10.0</v>
      </c>
      <c r="I535" s="53">
        <v>1.710004599E9</v>
      </c>
      <c r="J535" s="58" t="s">
        <v>64</v>
      </c>
      <c r="K535" s="35">
        <v>46301.0</v>
      </c>
      <c r="L535" s="33">
        <v>7.100003944E9</v>
      </c>
      <c r="M535" s="36" t="str">
        <f t="shared" si="77"/>
        <v>SUDAH PO</v>
      </c>
      <c r="N535" s="56">
        <v>46208.0</v>
      </c>
      <c r="O535" s="38" t="str">
        <f t="shared" si="78"/>
        <v>CLOSE</v>
      </c>
      <c r="P535" s="33" t="s">
        <v>128</v>
      </c>
      <c r="Q535" s="33">
        <v>10.0</v>
      </c>
      <c r="R535" s="70">
        <f t="shared" si="79"/>
        <v>0</v>
      </c>
    </row>
    <row r="536">
      <c r="A536" s="75" t="s">
        <v>129</v>
      </c>
      <c r="B536" s="30" t="s">
        <v>35</v>
      </c>
      <c r="C536" s="76" t="s">
        <v>130</v>
      </c>
      <c r="D536" s="48" t="s">
        <v>131</v>
      </c>
      <c r="E536" s="59">
        <v>20.0</v>
      </c>
      <c r="F536" s="32" t="s">
        <v>10</v>
      </c>
      <c r="G536" s="32" t="s">
        <v>71</v>
      </c>
      <c r="H536" s="70">
        <v>20.0</v>
      </c>
      <c r="I536" s="53">
        <v>1.710004599E9</v>
      </c>
      <c r="J536" s="58" t="s">
        <v>132</v>
      </c>
      <c r="K536" s="58" t="s">
        <v>56</v>
      </c>
      <c r="L536" s="33">
        <v>7.100003944E9</v>
      </c>
      <c r="M536" s="36" t="str">
        <f t="shared" si="77"/>
        <v>SUDAH PO</v>
      </c>
      <c r="N536" s="56">
        <v>46208.0</v>
      </c>
      <c r="O536" s="38" t="str">
        <f t="shared" si="78"/>
        <v>BELUM DATANG</v>
      </c>
      <c r="P536" s="37"/>
      <c r="Q536" s="37"/>
      <c r="R536" s="70">
        <f t="shared" si="79"/>
        <v>-20</v>
      </c>
    </row>
    <row r="537">
      <c r="A537" s="74"/>
      <c r="B537" s="30" t="s">
        <v>35</v>
      </c>
      <c r="C537" s="47" t="s">
        <v>138</v>
      </c>
      <c r="D537" s="47" t="s">
        <v>138</v>
      </c>
      <c r="E537" s="70">
        <v>54.0</v>
      </c>
      <c r="F537" s="38" t="s">
        <v>106</v>
      </c>
      <c r="G537" s="37"/>
      <c r="H537" s="70"/>
      <c r="I537" s="37"/>
      <c r="J537" s="38"/>
      <c r="K537" s="38"/>
      <c r="L537" s="36"/>
      <c r="M537" s="36" t="str">
        <f t="shared" si="77"/>
        <v>BELUM PO</v>
      </c>
      <c r="N537" s="37"/>
      <c r="O537" s="38" t="str">
        <f t="shared" si="78"/>
        <v>BELUM DATANG</v>
      </c>
      <c r="P537" s="37"/>
      <c r="Q537" s="37"/>
      <c r="R537" s="70">
        <f t="shared" si="79"/>
        <v>0</v>
      </c>
    </row>
    <row r="538">
      <c r="A538" s="38" t="s">
        <v>504</v>
      </c>
      <c r="B538" s="30" t="s">
        <v>35</v>
      </c>
      <c r="C538" s="72" t="s">
        <v>140</v>
      </c>
      <c r="D538" s="72" t="s">
        <v>109</v>
      </c>
      <c r="E538" s="136">
        <v>0.0</v>
      </c>
      <c r="F538" s="71" t="s">
        <v>110</v>
      </c>
      <c r="G538" s="32" t="s">
        <v>71</v>
      </c>
      <c r="H538" s="150" t="s">
        <v>485</v>
      </c>
      <c r="I538" s="151" t="s">
        <v>485</v>
      </c>
      <c r="J538" s="50"/>
      <c r="K538" s="50"/>
      <c r="L538" s="51"/>
      <c r="M538" s="51" t="str">
        <f t="shared" si="77"/>
        <v>BELUM PO</v>
      </c>
      <c r="N538" s="49"/>
      <c r="O538" s="50" t="str">
        <f t="shared" si="78"/>
        <v>BELUM DATANG</v>
      </c>
      <c r="P538" s="49"/>
      <c r="Q538" s="49"/>
      <c r="R538" s="151" t="s">
        <v>485</v>
      </c>
    </row>
    <row r="539">
      <c r="A539" s="38" t="s">
        <v>111</v>
      </c>
      <c r="B539" s="30" t="s">
        <v>35</v>
      </c>
      <c r="C539" s="72" t="s">
        <v>112</v>
      </c>
      <c r="D539" s="72" t="s">
        <v>141</v>
      </c>
      <c r="E539" s="136">
        <v>864.0</v>
      </c>
      <c r="F539" s="122" t="s">
        <v>110</v>
      </c>
      <c r="G539" s="32" t="s">
        <v>71</v>
      </c>
      <c r="H539" s="136">
        <v>864.0</v>
      </c>
      <c r="I539" s="49"/>
      <c r="J539" s="50"/>
      <c r="K539" s="50"/>
      <c r="L539" s="51"/>
      <c r="M539" s="51" t="str">
        <f t="shared" si="77"/>
        <v>BELUM PO</v>
      </c>
      <c r="N539" s="49"/>
      <c r="O539" s="50" t="str">
        <f t="shared" si="78"/>
        <v>BELUM DATANG</v>
      </c>
      <c r="P539" s="49"/>
      <c r="Q539" s="49"/>
      <c r="R539" s="101">
        <f t="shared" ref="R539:R545" si="80">Q539-H539</f>
        <v>-864</v>
      </c>
    </row>
    <row r="540">
      <c r="A540" s="38" t="s">
        <v>114</v>
      </c>
      <c r="B540" s="30" t="s">
        <v>35</v>
      </c>
      <c r="C540" s="48" t="s">
        <v>115</v>
      </c>
      <c r="D540" s="48" t="s">
        <v>116</v>
      </c>
      <c r="E540" s="59">
        <v>30.0</v>
      </c>
      <c r="F540" s="32" t="s">
        <v>117</v>
      </c>
      <c r="G540" s="32" t="s">
        <v>71</v>
      </c>
      <c r="H540" s="54">
        <v>30.0</v>
      </c>
      <c r="I540" s="37">
        <v>1.710004599E9</v>
      </c>
      <c r="J540" s="38" t="s">
        <v>64</v>
      </c>
      <c r="K540" s="56">
        <v>46301.0</v>
      </c>
      <c r="L540" s="33">
        <v>7.100003978E9</v>
      </c>
      <c r="M540" s="36" t="str">
        <f t="shared" si="77"/>
        <v>SUDAH PO</v>
      </c>
      <c r="N540" s="33" t="s">
        <v>78</v>
      </c>
      <c r="O540" s="38" t="str">
        <f t="shared" si="78"/>
        <v>BELUM DATANG</v>
      </c>
      <c r="P540" s="37"/>
      <c r="Q540" s="37"/>
      <c r="R540" s="70">
        <f t="shared" si="80"/>
        <v>-30</v>
      </c>
    </row>
    <row r="541">
      <c r="A541" s="38" t="s">
        <v>118</v>
      </c>
      <c r="B541" s="30" t="s">
        <v>35</v>
      </c>
      <c r="C541" s="48" t="s">
        <v>119</v>
      </c>
      <c r="D541" s="48" t="s">
        <v>142</v>
      </c>
      <c r="E541" s="59">
        <v>55.0</v>
      </c>
      <c r="F541" s="32" t="s">
        <v>117</v>
      </c>
      <c r="G541" s="32" t="s">
        <v>71</v>
      </c>
      <c r="H541" s="54">
        <v>55.0</v>
      </c>
      <c r="I541" s="53">
        <v>1.710004543E9</v>
      </c>
      <c r="J541" s="58" t="s">
        <v>314</v>
      </c>
      <c r="K541" s="61">
        <v>46331.0</v>
      </c>
      <c r="L541" s="36">
        <v>7.1000039E9</v>
      </c>
      <c r="M541" s="36" t="str">
        <f t="shared" si="77"/>
        <v>SUDAH PO</v>
      </c>
      <c r="N541" s="33" t="s">
        <v>55</v>
      </c>
      <c r="O541" s="38" t="str">
        <f t="shared" si="78"/>
        <v>CLOSE</v>
      </c>
      <c r="P541" s="33" t="s">
        <v>204</v>
      </c>
      <c r="Q541" s="33">
        <v>55.0</v>
      </c>
      <c r="R541" s="70">
        <f t="shared" si="80"/>
        <v>0</v>
      </c>
    </row>
    <row r="542">
      <c r="A542" s="38" t="s">
        <v>505</v>
      </c>
      <c r="B542" s="30" t="s">
        <v>35</v>
      </c>
      <c r="C542" s="48" t="s">
        <v>63</v>
      </c>
      <c r="D542" s="48" t="s">
        <v>63</v>
      </c>
      <c r="E542" s="134">
        <v>7.0</v>
      </c>
      <c r="F542" s="38" t="s">
        <v>10</v>
      </c>
      <c r="G542" s="32" t="s">
        <v>71</v>
      </c>
      <c r="H542" s="70">
        <v>7.0</v>
      </c>
      <c r="I542" s="53">
        <v>1.710004543E9</v>
      </c>
      <c r="J542" s="54" t="s">
        <v>45</v>
      </c>
      <c r="K542" s="61">
        <v>46331.0</v>
      </c>
      <c r="L542" s="36">
        <v>7.1000039E9</v>
      </c>
      <c r="M542" s="36" t="str">
        <f t="shared" si="77"/>
        <v>SUDAH PO</v>
      </c>
      <c r="N542" s="33" t="s">
        <v>55</v>
      </c>
      <c r="O542" s="38" t="str">
        <f t="shared" si="78"/>
        <v>CLOSE</v>
      </c>
      <c r="P542" s="33" t="s">
        <v>64</v>
      </c>
      <c r="Q542" s="37">
        <v>7.0</v>
      </c>
      <c r="R542" s="70">
        <f t="shared" si="80"/>
        <v>0</v>
      </c>
    </row>
    <row r="543">
      <c r="A543" s="38" t="s">
        <v>506</v>
      </c>
      <c r="B543" s="30" t="s">
        <v>35</v>
      </c>
      <c r="C543" s="48" t="s">
        <v>67</v>
      </c>
      <c r="D543" s="48" t="s">
        <v>67</v>
      </c>
      <c r="E543" s="70">
        <v>7.0</v>
      </c>
      <c r="F543" s="38" t="s">
        <v>10</v>
      </c>
      <c r="G543" s="32" t="s">
        <v>71</v>
      </c>
      <c r="H543" s="70">
        <v>7.0</v>
      </c>
      <c r="I543" s="58">
        <v>1.710004599E9</v>
      </c>
      <c r="J543" s="34" t="s">
        <v>64</v>
      </c>
      <c r="K543" s="35">
        <v>46301.0</v>
      </c>
      <c r="L543" s="33">
        <v>7.100003974E9</v>
      </c>
      <c r="M543" s="36" t="str">
        <f t="shared" si="77"/>
        <v>SUDAH PO</v>
      </c>
      <c r="N543" s="33" t="s">
        <v>56</v>
      </c>
      <c r="O543" s="38" t="str">
        <f t="shared" si="78"/>
        <v>BELUM DATANG</v>
      </c>
      <c r="P543" s="37"/>
      <c r="Q543" s="37"/>
      <c r="R543" s="70">
        <f t="shared" si="80"/>
        <v>-7</v>
      </c>
    </row>
    <row r="544">
      <c r="A544" s="38" t="s">
        <v>507</v>
      </c>
      <c r="B544" s="30" t="s">
        <v>35</v>
      </c>
      <c r="C544" s="48" t="s">
        <v>74</v>
      </c>
      <c r="D544" s="48" t="s">
        <v>74</v>
      </c>
      <c r="E544" s="70">
        <v>55.0</v>
      </c>
      <c r="F544" s="38" t="s">
        <v>10</v>
      </c>
      <c r="G544" s="32" t="s">
        <v>71</v>
      </c>
      <c r="H544" s="70">
        <v>55.0</v>
      </c>
      <c r="I544" s="34">
        <v>1.710004543E9</v>
      </c>
      <c r="J544" s="34" t="s">
        <v>45</v>
      </c>
      <c r="K544" s="35">
        <v>46331.0</v>
      </c>
      <c r="L544" s="34">
        <v>7.1000039E9</v>
      </c>
      <c r="M544" s="36" t="str">
        <f t="shared" si="77"/>
        <v>SUDAH PO</v>
      </c>
      <c r="N544" s="33" t="s">
        <v>46</v>
      </c>
      <c r="O544" s="38" t="str">
        <f t="shared" si="78"/>
        <v>CLOSE</v>
      </c>
      <c r="P544" s="37" t="s">
        <v>64</v>
      </c>
      <c r="Q544" s="37">
        <v>55.0</v>
      </c>
      <c r="R544" s="70">
        <f t="shared" si="80"/>
        <v>0</v>
      </c>
    </row>
    <row r="545">
      <c r="A545" s="75" t="s">
        <v>150</v>
      </c>
      <c r="B545" s="30" t="s">
        <v>35</v>
      </c>
      <c r="C545" s="48" t="s">
        <v>151</v>
      </c>
      <c r="D545" s="48" t="s">
        <v>152</v>
      </c>
      <c r="E545" s="70">
        <v>35.0</v>
      </c>
      <c r="F545" s="38" t="s">
        <v>44</v>
      </c>
      <c r="G545" s="37"/>
      <c r="H545" s="81">
        <f>E545/2.4</f>
        <v>14.58333333</v>
      </c>
      <c r="I545" s="53">
        <v>1.710004543E9</v>
      </c>
      <c r="J545" s="58" t="s">
        <v>45</v>
      </c>
      <c r="K545" s="55">
        <v>46331.0</v>
      </c>
      <c r="L545" s="33">
        <v>7.100003899E9</v>
      </c>
      <c r="M545" s="36" t="str">
        <f t="shared" si="77"/>
        <v>SUDAH PO</v>
      </c>
      <c r="N545" s="33" t="s">
        <v>153</v>
      </c>
      <c r="O545" s="38" t="str">
        <f t="shared" si="78"/>
        <v>DATANG SEBAGIAN</v>
      </c>
      <c r="P545" s="56">
        <v>46239.0</v>
      </c>
      <c r="Q545" s="33">
        <v>15.0</v>
      </c>
      <c r="R545" s="70">
        <f t="shared" si="80"/>
        <v>0.4166666667</v>
      </c>
    </row>
    <row r="546">
      <c r="A546" s="82" t="s">
        <v>155</v>
      </c>
      <c r="B546" s="30" t="s">
        <v>35</v>
      </c>
      <c r="C546" s="48" t="s">
        <v>156</v>
      </c>
      <c r="D546" s="48" t="s">
        <v>157</v>
      </c>
      <c r="E546" s="70">
        <v>12.0</v>
      </c>
      <c r="F546" s="38" t="s">
        <v>10</v>
      </c>
      <c r="G546" s="37"/>
      <c r="H546" s="83" t="s">
        <v>158</v>
      </c>
      <c r="I546" s="37"/>
      <c r="J546" s="38"/>
      <c r="K546" s="38"/>
      <c r="L546" s="33" t="s">
        <v>159</v>
      </c>
      <c r="M546" s="36" t="str">
        <f t="shared" si="77"/>
        <v>READY STOK</v>
      </c>
      <c r="N546" s="37"/>
      <c r="O546" s="38" t="str">
        <f t="shared" si="78"/>
        <v>BELUM DATANG</v>
      </c>
      <c r="P546" s="37"/>
      <c r="Q546" s="37"/>
      <c r="R546" s="37">
        <f>Q546-G546</f>
        <v>0</v>
      </c>
    </row>
    <row r="547">
      <c r="A547" s="57" t="s">
        <v>508</v>
      </c>
      <c r="B547" s="30" t="s">
        <v>35</v>
      </c>
      <c r="C547" s="84" t="s">
        <v>509</v>
      </c>
      <c r="D547" s="48" t="s">
        <v>162</v>
      </c>
      <c r="E547" s="137">
        <v>1.0</v>
      </c>
      <c r="F547" s="57" t="s">
        <v>163</v>
      </c>
      <c r="G547" s="85" t="s">
        <v>71</v>
      </c>
      <c r="H547" s="137">
        <v>1.0</v>
      </c>
      <c r="I547" s="85">
        <v>1.710004599E9</v>
      </c>
      <c r="J547" s="57" t="s">
        <v>64</v>
      </c>
      <c r="K547" s="87">
        <v>46301.0</v>
      </c>
      <c r="L547" s="86"/>
      <c r="M547" s="86" t="str">
        <f t="shared" si="77"/>
        <v>BELUM PO</v>
      </c>
      <c r="N547" s="85"/>
      <c r="O547" s="57" t="str">
        <f t="shared" si="78"/>
        <v>BELUM DATANG</v>
      </c>
      <c r="P547" s="85"/>
      <c r="Q547" s="85"/>
      <c r="R547" s="137">
        <f>Q547-H547</f>
        <v>-1</v>
      </c>
    </row>
    <row r="548">
      <c r="A548" s="89"/>
      <c r="B548" s="30" t="s">
        <v>35</v>
      </c>
      <c r="C548" s="89"/>
      <c r="D548" s="48" t="s">
        <v>164</v>
      </c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</row>
    <row r="549">
      <c r="A549" s="89"/>
      <c r="B549" s="30" t="s">
        <v>35</v>
      </c>
      <c r="C549" s="89"/>
      <c r="D549" s="48" t="s">
        <v>165</v>
      </c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</row>
    <row r="550">
      <c r="A550" s="89"/>
      <c r="B550" s="30" t="s">
        <v>35</v>
      </c>
      <c r="C550" s="89"/>
      <c r="D550" s="48" t="s">
        <v>166</v>
      </c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</row>
    <row r="551">
      <c r="A551" s="89"/>
      <c r="B551" s="30" t="s">
        <v>35</v>
      </c>
      <c r="C551" s="89"/>
      <c r="D551" s="48" t="s">
        <v>167</v>
      </c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</row>
    <row r="552">
      <c r="A552" s="89"/>
      <c r="B552" s="30" t="s">
        <v>35</v>
      </c>
      <c r="C552" s="89"/>
      <c r="D552" s="48" t="s">
        <v>168</v>
      </c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</row>
    <row r="553">
      <c r="A553" s="89"/>
      <c r="B553" s="30" t="s">
        <v>35</v>
      </c>
      <c r="C553" s="89"/>
      <c r="D553" s="48" t="s">
        <v>169</v>
      </c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</row>
    <row r="554">
      <c r="A554" s="89"/>
      <c r="B554" s="30" t="s">
        <v>35</v>
      </c>
      <c r="C554" s="89"/>
      <c r="D554" s="48" t="s">
        <v>170</v>
      </c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</row>
    <row r="555">
      <c r="A555" s="89"/>
      <c r="B555" s="30" t="s">
        <v>35</v>
      </c>
      <c r="C555" s="89"/>
      <c r="D555" s="48" t="s">
        <v>171</v>
      </c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</row>
    <row r="556">
      <c r="A556" s="18"/>
      <c r="B556" s="30" t="s">
        <v>35</v>
      </c>
      <c r="C556" s="18"/>
      <c r="D556" s="48" t="s">
        <v>172</v>
      </c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</row>
    <row r="557">
      <c r="A557" s="41"/>
      <c r="B557" s="20"/>
      <c r="C557" s="42"/>
      <c r="D557" s="42"/>
      <c r="E557" s="42"/>
      <c r="F557" s="42"/>
      <c r="G557" s="43"/>
      <c r="H557" s="145"/>
      <c r="I557" s="44"/>
      <c r="J557" s="24"/>
      <c r="K557" s="24"/>
      <c r="L557" s="25"/>
      <c r="M557" s="25"/>
      <c r="N557" s="44"/>
      <c r="O557" s="24"/>
      <c r="P557" s="44"/>
      <c r="Q557" s="44"/>
      <c r="R557" s="44"/>
    </row>
    <row r="558">
      <c r="A558" s="38" t="s">
        <v>510</v>
      </c>
      <c r="B558" s="30" t="s">
        <v>36</v>
      </c>
      <c r="C558" s="48" t="s">
        <v>53</v>
      </c>
      <c r="D558" s="48" t="s">
        <v>511</v>
      </c>
      <c r="E558" s="70">
        <v>9.0</v>
      </c>
      <c r="F558" s="38" t="s">
        <v>10</v>
      </c>
      <c r="G558" s="37"/>
      <c r="H558" s="54">
        <v>9.0</v>
      </c>
      <c r="I558" s="53">
        <v>1.710004599E9</v>
      </c>
      <c r="J558" s="58" t="s">
        <v>64</v>
      </c>
      <c r="K558" s="58" t="s">
        <v>56</v>
      </c>
      <c r="L558" s="36"/>
      <c r="M558" s="36" t="str">
        <f t="shared" ref="M558:M566" si="81">IF(LEN(L558)=10,"SUDAH PO",IF(L558="STOK","READY STOK",IF(L558="PL","READY STOK","BELUM PO")))</f>
        <v>BELUM PO</v>
      </c>
      <c r="N558" s="37"/>
      <c r="O558" s="38" t="str">
        <f t="shared" ref="O558:O566" si="82">IF(H558="STOK","STOK",IF(ISBLANK(P558),"BELUM DATANG",IF(R558=0,"CLOSE","DATANG SEBAGIAN")))</f>
        <v>BELUM DATANG</v>
      </c>
      <c r="P558" s="37"/>
      <c r="Q558" s="37"/>
      <c r="R558" s="70">
        <f t="shared" ref="R558:R566" si="83">Q558-H558</f>
        <v>-9</v>
      </c>
    </row>
    <row r="559">
      <c r="A559" s="38" t="s">
        <v>512</v>
      </c>
      <c r="B559" s="30" t="s">
        <v>36</v>
      </c>
      <c r="C559" s="48" t="s">
        <v>53</v>
      </c>
      <c r="D559" s="48" t="s">
        <v>513</v>
      </c>
      <c r="E559" s="70">
        <v>4.0</v>
      </c>
      <c r="F559" s="38" t="s">
        <v>10</v>
      </c>
      <c r="G559" s="32" t="s">
        <v>27</v>
      </c>
      <c r="H559" s="70">
        <v>4.0</v>
      </c>
      <c r="I559" s="34">
        <v>1.710004644E9</v>
      </c>
      <c r="J559" s="56">
        <v>46059.0</v>
      </c>
      <c r="K559" s="56">
        <v>46301.0</v>
      </c>
      <c r="L559" s="36"/>
      <c r="M559" s="36" t="str">
        <f t="shared" si="81"/>
        <v>BELUM PO</v>
      </c>
      <c r="N559" s="37"/>
      <c r="O559" s="38" t="str">
        <f t="shared" si="82"/>
        <v>BELUM DATANG</v>
      </c>
      <c r="P559" s="37"/>
      <c r="Q559" s="37"/>
      <c r="R559" s="70">
        <f t="shared" si="83"/>
        <v>-4</v>
      </c>
    </row>
    <row r="560">
      <c r="A560" s="29" t="s">
        <v>514</v>
      </c>
      <c r="B560" s="30" t="s">
        <v>36</v>
      </c>
      <c r="C560" s="48" t="s">
        <v>53</v>
      </c>
      <c r="D560" s="48" t="s">
        <v>515</v>
      </c>
      <c r="E560" s="70">
        <v>19.0</v>
      </c>
      <c r="F560" s="38" t="s">
        <v>10</v>
      </c>
      <c r="G560" s="37"/>
      <c r="H560" s="70">
        <v>19.0</v>
      </c>
      <c r="I560" s="33">
        <v>1.710004658E9</v>
      </c>
      <c r="J560" s="56">
        <v>46148.0</v>
      </c>
      <c r="K560" s="56">
        <v>46301.0</v>
      </c>
      <c r="L560" s="33">
        <v>7.100003986E9</v>
      </c>
      <c r="M560" s="36" t="str">
        <f t="shared" si="81"/>
        <v>SUDAH PO</v>
      </c>
      <c r="N560" s="56">
        <v>46301.0</v>
      </c>
      <c r="O560" s="38" t="str">
        <f t="shared" si="82"/>
        <v>BELUM DATANG</v>
      </c>
      <c r="P560" s="37"/>
      <c r="Q560" s="37"/>
      <c r="R560" s="70">
        <f t="shared" si="83"/>
        <v>-19</v>
      </c>
    </row>
    <row r="561">
      <c r="A561" s="29" t="s">
        <v>516</v>
      </c>
      <c r="B561" s="30" t="s">
        <v>31</v>
      </c>
      <c r="C561" s="48" t="s">
        <v>53</v>
      </c>
      <c r="D561" s="48" t="s">
        <v>515</v>
      </c>
      <c r="E561" s="158">
        <v>64.0</v>
      </c>
      <c r="F561" s="38" t="s">
        <v>10</v>
      </c>
      <c r="G561" s="37"/>
      <c r="H561" s="69">
        <v>64.0</v>
      </c>
      <c r="I561" s="33">
        <v>1.710004658E9</v>
      </c>
      <c r="J561" s="56">
        <v>46148.0</v>
      </c>
      <c r="K561" s="56">
        <v>46301.0</v>
      </c>
      <c r="L561" s="33">
        <v>7.100003986E9</v>
      </c>
      <c r="M561" s="36" t="str">
        <f t="shared" si="81"/>
        <v>SUDAH PO</v>
      </c>
      <c r="N561" s="56">
        <v>46301.0</v>
      </c>
      <c r="O561" s="38" t="str">
        <f t="shared" si="82"/>
        <v>BELUM DATANG</v>
      </c>
      <c r="P561" s="37"/>
      <c r="Q561" s="37"/>
      <c r="R561" s="70">
        <f t="shared" si="83"/>
        <v>-64</v>
      </c>
    </row>
    <row r="562">
      <c r="A562" s="29" t="s">
        <v>517</v>
      </c>
      <c r="B562" s="30" t="s">
        <v>32</v>
      </c>
      <c r="C562" s="48" t="s">
        <v>53</v>
      </c>
      <c r="D562" s="48" t="s">
        <v>515</v>
      </c>
      <c r="E562" s="59">
        <v>44.0</v>
      </c>
      <c r="F562" s="38" t="s">
        <v>10</v>
      </c>
      <c r="G562" s="37"/>
      <c r="H562" s="69">
        <v>44.0</v>
      </c>
      <c r="I562" s="33">
        <v>1.710004658E9</v>
      </c>
      <c r="J562" s="56">
        <v>46148.0</v>
      </c>
      <c r="K562" s="56">
        <v>46301.0</v>
      </c>
      <c r="L562" s="33">
        <v>7.100003986E9</v>
      </c>
      <c r="M562" s="36" t="str">
        <f t="shared" si="81"/>
        <v>SUDAH PO</v>
      </c>
      <c r="N562" s="56">
        <v>46301.0</v>
      </c>
      <c r="O562" s="38" t="str">
        <f t="shared" si="82"/>
        <v>BELUM DATANG</v>
      </c>
      <c r="P562" s="37"/>
      <c r="Q562" s="37"/>
      <c r="R562" s="70">
        <f t="shared" si="83"/>
        <v>-44</v>
      </c>
    </row>
    <row r="563">
      <c r="A563" s="29" t="s">
        <v>518</v>
      </c>
      <c r="B563" s="30" t="s">
        <v>33</v>
      </c>
      <c r="C563" s="48" t="s">
        <v>53</v>
      </c>
      <c r="D563" s="48" t="s">
        <v>515</v>
      </c>
      <c r="E563" s="59">
        <v>44.0</v>
      </c>
      <c r="F563" s="38" t="s">
        <v>10</v>
      </c>
      <c r="G563" s="37"/>
      <c r="H563" s="69">
        <v>44.0</v>
      </c>
      <c r="I563" s="33">
        <v>1.710004658E9</v>
      </c>
      <c r="J563" s="56">
        <v>46148.0</v>
      </c>
      <c r="K563" s="56">
        <v>46301.0</v>
      </c>
      <c r="L563" s="33">
        <v>7.100003986E9</v>
      </c>
      <c r="M563" s="36" t="str">
        <f t="shared" si="81"/>
        <v>SUDAH PO</v>
      </c>
      <c r="N563" s="56">
        <v>46301.0</v>
      </c>
      <c r="O563" s="38" t="str">
        <f t="shared" si="82"/>
        <v>BELUM DATANG</v>
      </c>
      <c r="P563" s="37"/>
      <c r="Q563" s="37"/>
      <c r="R563" s="70">
        <f t="shared" si="83"/>
        <v>-44</v>
      </c>
    </row>
    <row r="564">
      <c r="A564" s="33" t="s">
        <v>519</v>
      </c>
      <c r="B564" s="30" t="s">
        <v>36</v>
      </c>
      <c r="C564" s="48" t="s">
        <v>53</v>
      </c>
      <c r="D564" s="48" t="s">
        <v>520</v>
      </c>
      <c r="E564" s="70">
        <v>2.0</v>
      </c>
      <c r="F564" s="38" t="s">
        <v>10</v>
      </c>
      <c r="G564" s="37"/>
      <c r="H564" s="69">
        <v>2.0</v>
      </c>
      <c r="I564" s="33">
        <v>1.710004644E9</v>
      </c>
      <c r="J564" s="56">
        <v>46059.0</v>
      </c>
      <c r="K564" s="56">
        <v>46301.0</v>
      </c>
      <c r="L564" s="33">
        <v>7.100003986E9</v>
      </c>
      <c r="M564" s="36" t="str">
        <f t="shared" si="81"/>
        <v>SUDAH PO</v>
      </c>
      <c r="N564" s="56">
        <v>46301.0</v>
      </c>
      <c r="O564" s="38" t="str">
        <f t="shared" si="82"/>
        <v>BELUM DATANG</v>
      </c>
      <c r="P564" s="37"/>
      <c r="Q564" s="80"/>
      <c r="R564" s="70">
        <f t="shared" si="83"/>
        <v>-2</v>
      </c>
    </row>
    <row r="565">
      <c r="A565" s="38" t="s">
        <v>521</v>
      </c>
      <c r="B565" s="30" t="s">
        <v>36</v>
      </c>
      <c r="C565" s="48" t="s">
        <v>53</v>
      </c>
      <c r="D565" s="48" t="s">
        <v>522</v>
      </c>
      <c r="E565" s="70">
        <v>8.0</v>
      </c>
      <c r="F565" s="38" t="s">
        <v>10</v>
      </c>
      <c r="G565" s="37"/>
      <c r="H565" s="70">
        <v>8.0</v>
      </c>
      <c r="I565" s="37">
        <v>1.710004599E9</v>
      </c>
      <c r="J565" s="38" t="s">
        <v>64</v>
      </c>
      <c r="K565" s="38" t="s">
        <v>56</v>
      </c>
      <c r="L565" s="33">
        <v>7.100003986E9</v>
      </c>
      <c r="M565" s="36" t="str">
        <f t="shared" si="81"/>
        <v>SUDAH PO</v>
      </c>
      <c r="N565" s="56">
        <v>46301.0</v>
      </c>
      <c r="O565" s="38" t="str">
        <f t="shared" si="82"/>
        <v>BELUM DATANG</v>
      </c>
      <c r="P565" s="37"/>
      <c r="Q565" s="37"/>
      <c r="R565" s="70">
        <f t="shared" si="83"/>
        <v>-8</v>
      </c>
    </row>
    <row r="566">
      <c r="A566" s="38" t="s">
        <v>523</v>
      </c>
      <c r="B566" s="30" t="s">
        <v>36</v>
      </c>
      <c r="C566" s="48" t="s">
        <v>53</v>
      </c>
      <c r="D566" s="48" t="s">
        <v>524</v>
      </c>
      <c r="E566" s="70">
        <v>2.0</v>
      </c>
      <c r="F566" s="38" t="s">
        <v>10</v>
      </c>
      <c r="G566" s="37"/>
      <c r="H566" s="70">
        <v>2.0</v>
      </c>
      <c r="I566" s="37">
        <v>1.710004599E9</v>
      </c>
      <c r="J566" s="38" t="s">
        <v>46</v>
      </c>
      <c r="K566" s="38" t="s">
        <v>56</v>
      </c>
      <c r="L566" s="33">
        <v>7.100003986E9</v>
      </c>
      <c r="M566" s="36" t="str">
        <f t="shared" si="81"/>
        <v>SUDAH PO</v>
      </c>
      <c r="N566" s="56">
        <v>46301.0</v>
      </c>
      <c r="O566" s="38" t="str">
        <f t="shared" si="82"/>
        <v>BELUM DATANG</v>
      </c>
      <c r="P566" s="37"/>
      <c r="Q566" s="37"/>
      <c r="R566" s="70">
        <f t="shared" si="83"/>
        <v>-2</v>
      </c>
    </row>
    <row r="567">
      <c r="A567" s="74"/>
      <c r="B567" s="30" t="s">
        <v>36</v>
      </c>
      <c r="C567" s="47" t="s">
        <v>525</v>
      </c>
      <c r="D567" s="47" t="s">
        <v>105</v>
      </c>
      <c r="E567" s="70">
        <v>44.0</v>
      </c>
      <c r="F567" s="38" t="s">
        <v>106</v>
      </c>
      <c r="G567" s="37"/>
      <c r="H567" s="70"/>
      <c r="I567" s="37"/>
      <c r="J567" s="38"/>
      <c r="K567" s="38"/>
      <c r="L567" s="36"/>
      <c r="M567" s="36"/>
      <c r="N567" s="37"/>
      <c r="O567" s="38"/>
      <c r="P567" s="37"/>
      <c r="Q567" s="37"/>
      <c r="R567" s="37"/>
    </row>
    <row r="568">
      <c r="A568" s="38" t="s">
        <v>526</v>
      </c>
      <c r="B568" s="30" t="s">
        <v>36</v>
      </c>
      <c r="C568" s="48" t="s">
        <v>108</v>
      </c>
      <c r="D568" s="48" t="s">
        <v>109</v>
      </c>
      <c r="E568" s="59">
        <v>1170.0</v>
      </c>
      <c r="F568" s="38" t="s">
        <v>110</v>
      </c>
      <c r="G568" s="32" t="s">
        <v>71</v>
      </c>
      <c r="H568" s="150" t="s">
        <v>485</v>
      </c>
      <c r="I568" s="151" t="s">
        <v>485</v>
      </c>
      <c r="J568" s="152" t="s">
        <v>485</v>
      </c>
      <c r="K568" s="152" t="s">
        <v>485</v>
      </c>
      <c r="L568" s="153" t="s">
        <v>485</v>
      </c>
      <c r="M568" s="153" t="s">
        <v>485</v>
      </c>
      <c r="N568" s="151" t="s">
        <v>485</v>
      </c>
      <c r="O568" s="152" t="s">
        <v>485</v>
      </c>
      <c r="P568" s="151" t="s">
        <v>485</v>
      </c>
      <c r="Q568" s="151" t="s">
        <v>485</v>
      </c>
      <c r="R568" s="151" t="s">
        <v>485</v>
      </c>
    </row>
    <row r="569">
      <c r="A569" s="38" t="s">
        <v>111</v>
      </c>
      <c r="B569" s="30" t="s">
        <v>36</v>
      </c>
      <c r="C569" s="48" t="s">
        <v>112</v>
      </c>
      <c r="D569" s="48" t="s">
        <v>113</v>
      </c>
      <c r="E569" s="154">
        <v>1170.0</v>
      </c>
      <c r="F569" s="32" t="s">
        <v>110</v>
      </c>
      <c r="G569" s="32" t="s">
        <v>71</v>
      </c>
      <c r="H569" s="154">
        <v>1170.0</v>
      </c>
      <c r="I569" s="53">
        <v>1.710004599E9</v>
      </c>
      <c r="J569" s="58" t="s">
        <v>64</v>
      </c>
      <c r="K569" s="58" t="s">
        <v>56</v>
      </c>
      <c r="L569" s="36"/>
      <c r="M569" s="36" t="str">
        <f t="shared" ref="M569:M588" si="84">IF(LEN(L569)=10,"SUDAH PO",IF(L569="STOK","READY STOK",IF(L569="PL","READY STOK","BELUM PO")))</f>
        <v>BELUM PO</v>
      </c>
      <c r="N569" s="37"/>
      <c r="O569" s="38" t="str">
        <f t="shared" ref="O569:O588" si="85">IF(H569="STOK","STOK",IF(ISBLANK(P569),"BELUM DATANG",IF(R569=0,"CLOSE","DATANG SEBAGIAN")))</f>
        <v>BELUM DATANG</v>
      </c>
      <c r="P569" s="37"/>
      <c r="Q569" s="37"/>
      <c r="R569" s="70">
        <f t="shared" ref="R569:R574" si="86">Q569-H569</f>
        <v>-1170</v>
      </c>
    </row>
    <row r="570">
      <c r="A570" s="38" t="s">
        <v>114</v>
      </c>
      <c r="B570" s="30" t="s">
        <v>36</v>
      </c>
      <c r="C570" s="48" t="s">
        <v>115</v>
      </c>
      <c r="D570" s="48" t="s">
        <v>116</v>
      </c>
      <c r="E570" s="59">
        <v>15.0</v>
      </c>
      <c r="F570" s="32" t="s">
        <v>117</v>
      </c>
      <c r="G570" s="32" t="s">
        <v>71</v>
      </c>
      <c r="H570" s="70">
        <v>15.0</v>
      </c>
      <c r="I570" s="37">
        <v>1.710004599E9</v>
      </c>
      <c r="J570" s="38" t="s">
        <v>64</v>
      </c>
      <c r="K570" s="56">
        <v>46301.0</v>
      </c>
      <c r="L570" s="33">
        <v>7.100003978E9</v>
      </c>
      <c r="M570" s="36" t="str">
        <f t="shared" si="84"/>
        <v>SUDAH PO</v>
      </c>
      <c r="N570" s="33" t="s">
        <v>78</v>
      </c>
      <c r="O570" s="38" t="str">
        <f t="shared" si="85"/>
        <v>BELUM DATANG</v>
      </c>
      <c r="P570" s="37"/>
      <c r="Q570" s="37"/>
      <c r="R570" s="70">
        <f t="shared" si="86"/>
        <v>-15</v>
      </c>
    </row>
    <row r="571">
      <c r="A571" s="38" t="s">
        <v>118</v>
      </c>
      <c r="B571" s="30" t="s">
        <v>36</v>
      </c>
      <c r="C571" s="48" t="s">
        <v>119</v>
      </c>
      <c r="D571" s="48" t="s">
        <v>120</v>
      </c>
      <c r="E571" s="59">
        <v>14.0</v>
      </c>
      <c r="F571" s="32" t="s">
        <v>117</v>
      </c>
      <c r="G571" s="32" t="s">
        <v>71</v>
      </c>
      <c r="H571" s="70">
        <v>14.0</v>
      </c>
      <c r="I571" s="53">
        <v>1.710004599E9</v>
      </c>
      <c r="J571" s="58" t="s">
        <v>64</v>
      </c>
      <c r="K571" s="35">
        <v>46301.0</v>
      </c>
      <c r="L571" s="33">
        <v>7.100003946E9</v>
      </c>
      <c r="M571" s="36" t="str">
        <f t="shared" si="84"/>
        <v>SUDAH PO</v>
      </c>
      <c r="N571" s="56">
        <v>46332.0</v>
      </c>
      <c r="O571" s="38" t="str">
        <f t="shared" si="85"/>
        <v>CLOSE</v>
      </c>
      <c r="P571" s="56">
        <v>46118.0</v>
      </c>
      <c r="Q571" s="33">
        <v>14.0</v>
      </c>
      <c r="R571" s="70">
        <f t="shared" si="86"/>
        <v>0</v>
      </c>
    </row>
    <row r="572">
      <c r="A572" s="75" t="s">
        <v>122</v>
      </c>
      <c r="B572" s="30" t="s">
        <v>36</v>
      </c>
      <c r="C572" s="76" t="s">
        <v>123</v>
      </c>
      <c r="D572" s="48" t="s">
        <v>124</v>
      </c>
      <c r="E572" s="59">
        <v>15.0</v>
      </c>
      <c r="F572" s="32" t="s">
        <v>10</v>
      </c>
      <c r="G572" s="32" t="s">
        <v>71</v>
      </c>
      <c r="H572" s="70">
        <v>15.0</v>
      </c>
      <c r="I572" s="37">
        <v>1.710004569E9</v>
      </c>
      <c r="J572" s="61">
        <v>46208.0</v>
      </c>
      <c r="K572" s="33" t="s">
        <v>46</v>
      </c>
      <c r="L572" s="33">
        <v>7.100003905E9</v>
      </c>
      <c r="M572" s="36" t="str">
        <f t="shared" si="84"/>
        <v>SUDAH PO</v>
      </c>
      <c r="N572" s="56">
        <v>46208.0</v>
      </c>
      <c r="O572" s="38" t="str">
        <f t="shared" si="85"/>
        <v>BELUM DATANG</v>
      </c>
      <c r="P572" s="37"/>
      <c r="Q572" s="37"/>
      <c r="R572" s="70">
        <f t="shared" si="86"/>
        <v>-15</v>
      </c>
    </row>
    <row r="573">
      <c r="A573" s="75" t="s">
        <v>129</v>
      </c>
      <c r="B573" s="30" t="s">
        <v>36</v>
      </c>
      <c r="C573" s="76" t="s">
        <v>130</v>
      </c>
      <c r="D573" s="48" t="s">
        <v>131</v>
      </c>
      <c r="E573" s="59">
        <v>15.0</v>
      </c>
      <c r="F573" s="32" t="s">
        <v>10</v>
      </c>
      <c r="G573" s="32" t="s">
        <v>71</v>
      </c>
      <c r="H573" s="70">
        <v>15.0</v>
      </c>
      <c r="I573" s="53">
        <v>1.710004599E9</v>
      </c>
      <c r="J573" s="58" t="s">
        <v>132</v>
      </c>
      <c r="K573" s="58" t="s">
        <v>56</v>
      </c>
      <c r="L573" s="33">
        <v>7.100003944E9</v>
      </c>
      <c r="M573" s="36" t="str">
        <f t="shared" si="84"/>
        <v>SUDAH PO</v>
      </c>
      <c r="N573" s="56">
        <v>46208.0</v>
      </c>
      <c r="O573" s="38" t="str">
        <f t="shared" si="85"/>
        <v>BELUM DATANG</v>
      </c>
      <c r="P573" s="37"/>
      <c r="Q573" s="37"/>
      <c r="R573" s="70">
        <f t="shared" si="86"/>
        <v>-15</v>
      </c>
    </row>
    <row r="574">
      <c r="A574" s="74"/>
      <c r="B574" s="30" t="s">
        <v>36</v>
      </c>
      <c r="C574" s="47" t="s">
        <v>527</v>
      </c>
      <c r="D574" s="47" t="s">
        <v>138</v>
      </c>
      <c r="E574" s="70">
        <v>16.0</v>
      </c>
      <c r="F574" s="38" t="s">
        <v>106</v>
      </c>
      <c r="G574" s="37"/>
      <c r="H574" s="70"/>
      <c r="I574" s="37"/>
      <c r="J574" s="38"/>
      <c r="K574" s="38"/>
      <c r="L574" s="36"/>
      <c r="M574" s="36" t="str">
        <f t="shared" si="84"/>
        <v>BELUM PO</v>
      </c>
      <c r="N574" s="37"/>
      <c r="O574" s="38" t="str">
        <f t="shared" si="85"/>
        <v>BELUM DATANG</v>
      </c>
      <c r="P574" s="37"/>
      <c r="Q574" s="37"/>
      <c r="R574" s="70">
        <f t="shared" si="86"/>
        <v>0</v>
      </c>
    </row>
    <row r="575">
      <c r="A575" s="38" t="s">
        <v>528</v>
      </c>
      <c r="B575" s="30" t="s">
        <v>36</v>
      </c>
      <c r="C575" s="72" t="s">
        <v>140</v>
      </c>
      <c r="D575" s="72" t="s">
        <v>109</v>
      </c>
      <c r="E575" s="136">
        <v>0.0</v>
      </c>
      <c r="F575" s="71" t="s">
        <v>110</v>
      </c>
      <c r="G575" s="32" t="s">
        <v>71</v>
      </c>
      <c r="H575" s="150" t="s">
        <v>485</v>
      </c>
      <c r="I575" s="151" t="s">
        <v>485</v>
      </c>
      <c r="J575" s="50"/>
      <c r="K575" s="50"/>
      <c r="L575" s="51"/>
      <c r="M575" s="51" t="str">
        <f t="shared" si="84"/>
        <v>BELUM PO</v>
      </c>
      <c r="N575" s="49"/>
      <c r="O575" s="50" t="str">
        <f t="shared" si="85"/>
        <v>BELUM DATANG</v>
      </c>
      <c r="P575" s="49"/>
      <c r="Q575" s="49"/>
      <c r="R575" s="151" t="s">
        <v>485</v>
      </c>
    </row>
    <row r="576">
      <c r="A576" s="38" t="s">
        <v>111</v>
      </c>
      <c r="B576" s="30" t="s">
        <v>36</v>
      </c>
      <c r="C576" s="72" t="s">
        <v>112</v>
      </c>
      <c r="D576" s="72" t="s">
        <v>141</v>
      </c>
      <c r="E576" s="136">
        <v>256.0</v>
      </c>
      <c r="F576" s="122" t="s">
        <v>110</v>
      </c>
      <c r="G576" s="32" t="s">
        <v>71</v>
      </c>
      <c r="H576" s="136">
        <v>256.0</v>
      </c>
      <c r="I576" s="49"/>
      <c r="J576" s="50"/>
      <c r="K576" s="50"/>
      <c r="L576" s="51"/>
      <c r="M576" s="51" t="str">
        <f t="shared" si="84"/>
        <v>BELUM PO</v>
      </c>
      <c r="N576" s="49"/>
      <c r="O576" s="50" t="str">
        <f t="shared" si="85"/>
        <v>BELUM DATANG</v>
      </c>
      <c r="P576" s="49"/>
      <c r="Q576" s="49"/>
      <c r="R576" s="101">
        <f t="shared" ref="R576:R587" si="87">Q576-H576</f>
        <v>-256</v>
      </c>
    </row>
    <row r="577">
      <c r="A577" s="38" t="s">
        <v>114</v>
      </c>
      <c r="B577" s="30" t="s">
        <v>36</v>
      </c>
      <c r="C577" s="48" t="s">
        <v>115</v>
      </c>
      <c r="D577" s="48" t="s">
        <v>116</v>
      </c>
      <c r="E577" s="59">
        <v>16.0</v>
      </c>
      <c r="F577" s="32" t="s">
        <v>117</v>
      </c>
      <c r="G577" s="32" t="s">
        <v>71</v>
      </c>
      <c r="H577" s="54">
        <v>16.0</v>
      </c>
      <c r="I577" s="37">
        <v>1.710004599E9</v>
      </c>
      <c r="J577" s="38" t="s">
        <v>64</v>
      </c>
      <c r="K577" s="56">
        <v>46301.0</v>
      </c>
      <c r="L577" s="33">
        <v>7.100003978E9</v>
      </c>
      <c r="M577" s="36" t="str">
        <f t="shared" si="84"/>
        <v>SUDAH PO</v>
      </c>
      <c r="N577" s="33" t="s">
        <v>78</v>
      </c>
      <c r="O577" s="38" t="str">
        <f t="shared" si="85"/>
        <v>BELUM DATANG</v>
      </c>
      <c r="P577" s="37"/>
      <c r="Q577" s="37"/>
      <c r="R577" s="70">
        <f t="shared" si="87"/>
        <v>-16</v>
      </c>
    </row>
    <row r="578">
      <c r="A578" s="38" t="s">
        <v>118</v>
      </c>
      <c r="B578" s="30" t="s">
        <v>36</v>
      </c>
      <c r="C578" s="48" t="s">
        <v>119</v>
      </c>
      <c r="D578" s="48" t="s">
        <v>142</v>
      </c>
      <c r="E578" s="59">
        <v>16.0</v>
      </c>
      <c r="F578" s="32" t="s">
        <v>117</v>
      </c>
      <c r="G578" s="110"/>
      <c r="H578" s="54">
        <v>16.0</v>
      </c>
      <c r="I578" s="53">
        <v>1.710004599E9</v>
      </c>
      <c r="J578" s="58" t="s">
        <v>64</v>
      </c>
      <c r="K578" s="35">
        <v>46301.0</v>
      </c>
      <c r="L578" s="33">
        <v>7.100003946E9</v>
      </c>
      <c r="M578" s="36" t="str">
        <f t="shared" si="84"/>
        <v>SUDAH PO</v>
      </c>
      <c r="N578" s="56">
        <v>46332.0</v>
      </c>
      <c r="O578" s="38" t="str">
        <f t="shared" si="85"/>
        <v>CLOSE</v>
      </c>
      <c r="P578" s="56">
        <v>46118.0</v>
      </c>
      <c r="Q578" s="33">
        <v>16.0</v>
      </c>
      <c r="R578" s="70">
        <f t="shared" si="87"/>
        <v>0</v>
      </c>
    </row>
    <row r="579">
      <c r="A579" s="38" t="s">
        <v>529</v>
      </c>
      <c r="B579" s="30" t="s">
        <v>36</v>
      </c>
      <c r="C579" s="48" t="s">
        <v>530</v>
      </c>
      <c r="D579" s="48" t="s">
        <v>63</v>
      </c>
      <c r="E579" s="134">
        <v>7.0</v>
      </c>
      <c r="F579" s="38" t="s">
        <v>10</v>
      </c>
      <c r="G579" s="32" t="s">
        <v>71</v>
      </c>
      <c r="H579" s="70">
        <v>7.0</v>
      </c>
      <c r="I579" s="53">
        <v>1.710004543E9</v>
      </c>
      <c r="J579" s="54" t="s">
        <v>45</v>
      </c>
      <c r="K579" s="61">
        <v>46331.0</v>
      </c>
      <c r="L579" s="36">
        <v>7.1000039E9</v>
      </c>
      <c r="M579" s="36" t="str">
        <f t="shared" si="84"/>
        <v>SUDAH PO</v>
      </c>
      <c r="N579" s="33" t="s">
        <v>55</v>
      </c>
      <c r="O579" s="38" t="str">
        <f t="shared" si="85"/>
        <v>CLOSE</v>
      </c>
      <c r="P579" s="33" t="s">
        <v>64</v>
      </c>
      <c r="Q579" s="37">
        <v>7.0</v>
      </c>
      <c r="R579" s="70">
        <f t="shared" si="87"/>
        <v>0</v>
      </c>
    </row>
    <row r="580">
      <c r="A580" s="38" t="s">
        <v>531</v>
      </c>
      <c r="B580" s="30" t="s">
        <v>36</v>
      </c>
      <c r="C580" s="48" t="s">
        <v>67</v>
      </c>
      <c r="D580" s="48" t="s">
        <v>67</v>
      </c>
      <c r="E580" s="70">
        <v>6.0</v>
      </c>
      <c r="F580" s="38" t="s">
        <v>10</v>
      </c>
      <c r="G580" s="32" t="s">
        <v>71</v>
      </c>
      <c r="H580" s="70">
        <v>6.0</v>
      </c>
      <c r="I580" s="58">
        <v>1.710004599E9</v>
      </c>
      <c r="J580" s="34" t="s">
        <v>64</v>
      </c>
      <c r="K580" s="35">
        <v>46301.0</v>
      </c>
      <c r="L580" s="33">
        <v>7.100003974E9</v>
      </c>
      <c r="M580" s="36" t="str">
        <f t="shared" si="84"/>
        <v>SUDAH PO</v>
      </c>
      <c r="N580" s="33" t="s">
        <v>56</v>
      </c>
      <c r="O580" s="38" t="str">
        <f t="shared" si="85"/>
        <v>BELUM DATANG</v>
      </c>
      <c r="P580" s="37"/>
      <c r="Q580" s="37"/>
      <c r="R580" s="70">
        <f t="shared" si="87"/>
        <v>-6</v>
      </c>
    </row>
    <row r="581">
      <c r="A581" s="38" t="s">
        <v>532</v>
      </c>
      <c r="B581" s="30" t="s">
        <v>36</v>
      </c>
      <c r="C581" s="48" t="s">
        <v>70</v>
      </c>
      <c r="D581" s="48" t="s">
        <v>70</v>
      </c>
      <c r="E581" s="70">
        <v>1.0</v>
      </c>
      <c r="F581" s="38" t="s">
        <v>10</v>
      </c>
      <c r="G581" s="32" t="s">
        <v>71</v>
      </c>
      <c r="H581" s="70">
        <v>1.0</v>
      </c>
      <c r="I581" s="37">
        <v>1.710004543E9</v>
      </c>
      <c r="J581" s="58" t="s">
        <v>45</v>
      </c>
      <c r="K581" s="61">
        <v>46331.0</v>
      </c>
      <c r="L581" s="36">
        <v>7.1000039E9</v>
      </c>
      <c r="M581" s="36" t="str">
        <f t="shared" si="84"/>
        <v>SUDAH PO</v>
      </c>
      <c r="N581" s="37" t="s">
        <v>55</v>
      </c>
      <c r="O581" s="38" t="str">
        <f t="shared" si="85"/>
        <v>CLOSE</v>
      </c>
      <c r="P581" s="33" t="s">
        <v>64</v>
      </c>
      <c r="Q581" s="33">
        <v>1.0</v>
      </c>
      <c r="R581" s="70">
        <f t="shared" si="87"/>
        <v>0</v>
      </c>
    </row>
    <row r="582">
      <c r="A582" s="38" t="s">
        <v>533</v>
      </c>
      <c r="B582" s="30" t="s">
        <v>36</v>
      </c>
      <c r="C582" s="48" t="s">
        <v>74</v>
      </c>
      <c r="D582" s="48" t="s">
        <v>74</v>
      </c>
      <c r="E582" s="70">
        <v>16.0</v>
      </c>
      <c r="F582" s="38" t="s">
        <v>10</v>
      </c>
      <c r="G582" s="32" t="s">
        <v>71</v>
      </c>
      <c r="H582" s="70">
        <v>16.0</v>
      </c>
      <c r="I582" s="34">
        <v>1.710004543E9</v>
      </c>
      <c r="J582" s="34" t="s">
        <v>45</v>
      </c>
      <c r="K582" s="35">
        <v>46331.0</v>
      </c>
      <c r="L582" s="34">
        <v>7.1000039E9</v>
      </c>
      <c r="M582" s="36" t="str">
        <f t="shared" si="84"/>
        <v>SUDAH PO</v>
      </c>
      <c r="N582" s="33" t="s">
        <v>46</v>
      </c>
      <c r="O582" s="38" t="str">
        <f t="shared" si="85"/>
        <v>CLOSE</v>
      </c>
      <c r="P582" s="37" t="s">
        <v>64</v>
      </c>
      <c r="Q582" s="37">
        <v>16.0</v>
      </c>
      <c r="R582" s="70">
        <f t="shared" si="87"/>
        <v>0</v>
      </c>
    </row>
    <row r="583">
      <c r="A583" s="38" t="s">
        <v>534</v>
      </c>
      <c r="B583" s="30" t="s">
        <v>36</v>
      </c>
      <c r="C583" s="48" t="s">
        <v>80</v>
      </c>
      <c r="D583" s="48" t="s">
        <v>292</v>
      </c>
      <c r="E583" s="70">
        <v>14.0</v>
      </c>
      <c r="F583" s="38" t="s">
        <v>10</v>
      </c>
      <c r="G583" s="33" t="s">
        <v>27</v>
      </c>
      <c r="H583" s="54">
        <v>14.0</v>
      </c>
      <c r="I583" s="53">
        <v>1.710004599E9</v>
      </c>
      <c r="J583" s="58" t="s">
        <v>64</v>
      </c>
      <c r="K583" s="56">
        <v>46301.0</v>
      </c>
      <c r="L583" s="36"/>
      <c r="M583" s="36" t="str">
        <f t="shared" si="84"/>
        <v>BELUM PO</v>
      </c>
      <c r="N583" s="37"/>
      <c r="O583" s="38" t="str">
        <f t="shared" si="85"/>
        <v>BELUM DATANG</v>
      </c>
      <c r="P583" s="37"/>
      <c r="Q583" s="37"/>
      <c r="R583" s="70">
        <f t="shared" si="87"/>
        <v>-14</v>
      </c>
    </row>
    <row r="584">
      <c r="A584" s="38" t="s">
        <v>535</v>
      </c>
      <c r="B584" s="30" t="s">
        <v>36</v>
      </c>
      <c r="C584" s="48" t="s">
        <v>80</v>
      </c>
      <c r="D584" s="48" t="s">
        <v>294</v>
      </c>
      <c r="E584" s="69">
        <v>7.0</v>
      </c>
      <c r="F584" s="38" t="s">
        <v>10</v>
      </c>
      <c r="G584" s="32" t="s">
        <v>71</v>
      </c>
      <c r="H584" s="156">
        <v>7.0</v>
      </c>
      <c r="I584" s="34">
        <v>1.710004644E9</v>
      </c>
      <c r="J584" s="56">
        <v>46059.0</v>
      </c>
      <c r="K584" s="56">
        <v>46301.0</v>
      </c>
      <c r="L584" s="36"/>
      <c r="M584" s="36" t="str">
        <f t="shared" si="84"/>
        <v>BELUM PO</v>
      </c>
      <c r="N584" s="37"/>
      <c r="O584" s="38" t="str">
        <f t="shared" si="85"/>
        <v>BELUM DATANG</v>
      </c>
      <c r="P584" s="37"/>
      <c r="Q584" s="37"/>
      <c r="R584" s="70">
        <f t="shared" si="87"/>
        <v>-7</v>
      </c>
    </row>
    <row r="585">
      <c r="A585" s="29" t="s">
        <v>536</v>
      </c>
      <c r="B585" s="30" t="s">
        <v>36</v>
      </c>
      <c r="C585" s="48" t="s">
        <v>80</v>
      </c>
      <c r="D585" s="48" t="s">
        <v>296</v>
      </c>
      <c r="E585" s="70">
        <v>11.0</v>
      </c>
      <c r="F585" s="38" t="s">
        <v>10</v>
      </c>
      <c r="G585" s="32" t="s">
        <v>71</v>
      </c>
      <c r="H585" s="69">
        <v>11.0</v>
      </c>
      <c r="I585" s="33">
        <v>1.710004658E9</v>
      </c>
      <c r="J585" s="56">
        <v>46240.0</v>
      </c>
      <c r="K585" s="56">
        <v>46301.0</v>
      </c>
      <c r="L585" s="36"/>
      <c r="M585" s="36" t="str">
        <f t="shared" si="84"/>
        <v>BELUM PO</v>
      </c>
      <c r="N585" s="37"/>
      <c r="O585" s="38" t="str">
        <f t="shared" si="85"/>
        <v>BELUM DATANG</v>
      </c>
      <c r="P585" s="37"/>
      <c r="Q585" s="37"/>
      <c r="R585" s="70">
        <f t="shared" si="87"/>
        <v>-11</v>
      </c>
    </row>
    <row r="586">
      <c r="A586" s="38" t="s">
        <v>537</v>
      </c>
      <c r="B586" s="30" t="s">
        <v>36</v>
      </c>
      <c r="C586" s="48" t="s">
        <v>80</v>
      </c>
      <c r="D586" s="48" t="s">
        <v>300</v>
      </c>
      <c r="E586" s="70">
        <v>1.0</v>
      </c>
      <c r="F586" s="38" t="s">
        <v>10</v>
      </c>
      <c r="G586" s="32" t="s">
        <v>27</v>
      </c>
      <c r="H586" s="70">
        <v>1.0</v>
      </c>
      <c r="I586" s="53">
        <v>1.710004599E9</v>
      </c>
      <c r="J586" s="58" t="s">
        <v>64</v>
      </c>
      <c r="K586" s="35">
        <v>46301.0</v>
      </c>
      <c r="L586" s="33">
        <v>7.100003986E9</v>
      </c>
      <c r="M586" s="36" t="str">
        <f t="shared" si="84"/>
        <v>SUDAH PO</v>
      </c>
      <c r="N586" s="56">
        <v>46301.0</v>
      </c>
      <c r="O586" s="38" t="str">
        <f t="shared" si="85"/>
        <v>BELUM DATANG</v>
      </c>
      <c r="P586" s="37"/>
      <c r="Q586" s="37"/>
      <c r="R586" s="70">
        <f t="shared" si="87"/>
        <v>-1</v>
      </c>
    </row>
    <row r="587">
      <c r="A587" s="33" t="s">
        <v>538</v>
      </c>
      <c r="B587" s="30" t="s">
        <v>36</v>
      </c>
      <c r="C587" s="48" t="s">
        <v>80</v>
      </c>
      <c r="D587" s="48" t="s">
        <v>302</v>
      </c>
      <c r="E587" s="70">
        <v>1.0</v>
      </c>
      <c r="F587" s="38" t="s">
        <v>10</v>
      </c>
      <c r="G587" s="37"/>
      <c r="H587" s="54">
        <v>1.0</v>
      </c>
      <c r="I587" s="34">
        <v>1.710004658E9</v>
      </c>
      <c r="J587" s="35">
        <v>46240.0</v>
      </c>
      <c r="K587" s="35">
        <v>46301.0</v>
      </c>
      <c r="L587" s="36"/>
      <c r="M587" s="36" t="str">
        <f t="shared" si="84"/>
        <v>BELUM PO</v>
      </c>
      <c r="N587" s="37"/>
      <c r="O587" s="38" t="str">
        <f t="shared" si="85"/>
        <v>BELUM DATANG</v>
      </c>
      <c r="P587" s="37"/>
      <c r="Q587" s="37"/>
      <c r="R587" s="70">
        <f t="shared" si="87"/>
        <v>-1</v>
      </c>
    </row>
    <row r="588">
      <c r="A588" s="74"/>
      <c r="B588" s="30" t="s">
        <v>36</v>
      </c>
      <c r="C588" s="47" t="s">
        <v>539</v>
      </c>
      <c r="D588" s="47" t="s">
        <v>105</v>
      </c>
      <c r="E588" s="70">
        <v>49.0</v>
      </c>
      <c r="F588" s="38" t="s">
        <v>106</v>
      </c>
      <c r="G588" s="37"/>
      <c r="H588" s="70"/>
      <c r="I588" s="37"/>
      <c r="J588" s="38"/>
      <c r="K588" s="38"/>
      <c r="L588" s="36"/>
      <c r="M588" s="36" t="str">
        <f t="shared" si="84"/>
        <v>BELUM PO</v>
      </c>
      <c r="N588" s="37"/>
      <c r="O588" s="38" t="str">
        <f t="shared" si="85"/>
        <v>BELUM DATANG</v>
      </c>
      <c r="P588" s="37"/>
      <c r="Q588" s="37"/>
      <c r="R588" s="53" t="s">
        <v>485</v>
      </c>
    </row>
    <row r="589">
      <c r="A589" s="38" t="s">
        <v>540</v>
      </c>
      <c r="B589" s="30" t="s">
        <v>36</v>
      </c>
      <c r="C589" s="48" t="s">
        <v>108</v>
      </c>
      <c r="D589" s="48" t="s">
        <v>109</v>
      </c>
      <c r="E589" s="136">
        <v>0.0</v>
      </c>
      <c r="F589" s="71" t="s">
        <v>110</v>
      </c>
      <c r="G589" s="32" t="s">
        <v>71</v>
      </c>
      <c r="H589" s="150" t="s">
        <v>485</v>
      </c>
      <c r="I589" s="151" t="s">
        <v>485</v>
      </c>
      <c r="J589" s="152" t="s">
        <v>485</v>
      </c>
      <c r="K589" s="152" t="s">
        <v>485</v>
      </c>
      <c r="L589" s="153" t="s">
        <v>485</v>
      </c>
      <c r="M589" s="153" t="s">
        <v>485</v>
      </c>
      <c r="N589" s="151" t="s">
        <v>485</v>
      </c>
      <c r="O589" s="152" t="s">
        <v>485</v>
      </c>
      <c r="P589" s="151" t="s">
        <v>485</v>
      </c>
      <c r="Q589" s="151" t="s">
        <v>485</v>
      </c>
      <c r="R589" s="151" t="s">
        <v>485</v>
      </c>
    </row>
    <row r="590">
      <c r="A590" s="38" t="s">
        <v>111</v>
      </c>
      <c r="B590" s="30" t="s">
        <v>36</v>
      </c>
      <c r="C590" s="48" t="s">
        <v>112</v>
      </c>
      <c r="D590" s="48" t="s">
        <v>113</v>
      </c>
      <c r="E590" s="154">
        <v>1220.0</v>
      </c>
      <c r="F590" s="122" t="s">
        <v>110</v>
      </c>
      <c r="G590" s="32" t="s">
        <v>71</v>
      </c>
      <c r="H590" s="154">
        <v>1220.0</v>
      </c>
      <c r="I590" s="53">
        <v>1.710004599E9</v>
      </c>
      <c r="J590" s="58" t="s">
        <v>64</v>
      </c>
      <c r="K590" s="58" t="s">
        <v>56</v>
      </c>
      <c r="L590" s="36"/>
      <c r="M590" s="36" t="str">
        <f t="shared" ref="M590:M607" si="88">IF(LEN(L590)=10,"SUDAH PO",IF(L590="STOK","READY STOK",IF(L590="PL","READY STOK","BELUM PO")))</f>
        <v>BELUM PO</v>
      </c>
      <c r="N590" s="37"/>
      <c r="O590" s="38" t="str">
        <f t="shared" ref="O590:O607" si="89">IF(H590="STOK","STOK",IF(ISBLANK(P590),"BELUM DATANG",IF(R590=0,"CLOSE","DATANG SEBAGIAN")))</f>
        <v>BELUM DATANG</v>
      </c>
      <c r="P590" s="37"/>
      <c r="Q590" s="37"/>
      <c r="R590" s="70">
        <f t="shared" ref="R590:R595" si="90">Q590-H590</f>
        <v>-1220</v>
      </c>
    </row>
    <row r="591">
      <c r="A591" s="38" t="s">
        <v>114</v>
      </c>
      <c r="B591" s="30" t="s">
        <v>36</v>
      </c>
      <c r="C591" s="48" t="s">
        <v>115</v>
      </c>
      <c r="D591" s="48" t="s">
        <v>116</v>
      </c>
      <c r="E591" s="59">
        <v>49.0</v>
      </c>
      <c r="F591" s="32" t="s">
        <v>117</v>
      </c>
      <c r="G591" s="32" t="s">
        <v>71</v>
      </c>
      <c r="H591" s="54">
        <v>49.0</v>
      </c>
      <c r="I591" s="37">
        <v>1.710004599E9</v>
      </c>
      <c r="J591" s="38" t="s">
        <v>64</v>
      </c>
      <c r="K591" s="56">
        <v>46301.0</v>
      </c>
      <c r="L591" s="33">
        <v>7.100003978E9</v>
      </c>
      <c r="M591" s="36" t="str">
        <f t="shared" si="88"/>
        <v>SUDAH PO</v>
      </c>
      <c r="N591" s="33" t="s">
        <v>78</v>
      </c>
      <c r="O591" s="38" t="str">
        <f t="shared" si="89"/>
        <v>BELUM DATANG</v>
      </c>
      <c r="P591" s="37"/>
      <c r="Q591" s="37"/>
      <c r="R591" s="70">
        <f t="shared" si="90"/>
        <v>-49</v>
      </c>
    </row>
    <row r="592">
      <c r="A592" s="38" t="s">
        <v>118</v>
      </c>
      <c r="B592" s="30" t="s">
        <v>36</v>
      </c>
      <c r="C592" s="48" t="s">
        <v>119</v>
      </c>
      <c r="D592" s="48" t="s">
        <v>120</v>
      </c>
      <c r="E592" s="59">
        <v>49.0</v>
      </c>
      <c r="F592" s="32" t="s">
        <v>117</v>
      </c>
      <c r="G592" s="32" t="s">
        <v>71</v>
      </c>
      <c r="H592" s="70">
        <v>49.0</v>
      </c>
      <c r="I592" s="53">
        <v>1.710004599E9</v>
      </c>
      <c r="J592" s="58" t="s">
        <v>64</v>
      </c>
      <c r="K592" s="35">
        <v>46301.0</v>
      </c>
      <c r="L592" s="33">
        <v>7.100003946E9</v>
      </c>
      <c r="M592" s="36" t="str">
        <f t="shared" si="88"/>
        <v>SUDAH PO</v>
      </c>
      <c r="N592" s="56">
        <v>46332.0</v>
      </c>
      <c r="O592" s="38" t="str">
        <f t="shared" si="89"/>
        <v>CLOSE</v>
      </c>
      <c r="P592" s="56">
        <v>46118.0</v>
      </c>
      <c r="Q592" s="33">
        <v>49.0</v>
      </c>
      <c r="R592" s="70">
        <f t="shared" si="90"/>
        <v>0</v>
      </c>
    </row>
    <row r="593">
      <c r="A593" s="75" t="s">
        <v>122</v>
      </c>
      <c r="B593" s="30" t="s">
        <v>36</v>
      </c>
      <c r="C593" s="76" t="s">
        <v>123</v>
      </c>
      <c r="D593" s="48" t="s">
        <v>124</v>
      </c>
      <c r="E593" s="59">
        <v>200.0</v>
      </c>
      <c r="F593" s="32" t="s">
        <v>10</v>
      </c>
      <c r="G593" s="32" t="s">
        <v>71</v>
      </c>
      <c r="H593" s="70">
        <v>200.0</v>
      </c>
      <c r="I593" s="53">
        <v>1.710004579E9</v>
      </c>
      <c r="J593" s="61">
        <v>46208.0</v>
      </c>
      <c r="K593" s="33" t="s">
        <v>46</v>
      </c>
      <c r="L593" s="33">
        <v>7.100003944E9</v>
      </c>
      <c r="M593" s="36" t="str">
        <f t="shared" si="88"/>
        <v>SUDAH PO</v>
      </c>
      <c r="N593" s="56">
        <v>46208.0</v>
      </c>
      <c r="O593" s="38" t="str">
        <f t="shared" si="89"/>
        <v>CLOSE</v>
      </c>
      <c r="P593" s="33" t="s">
        <v>128</v>
      </c>
      <c r="Q593" s="33">
        <v>200.0</v>
      </c>
      <c r="R593" s="70">
        <f t="shared" si="90"/>
        <v>0</v>
      </c>
    </row>
    <row r="594">
      <c r="A594" s="75" t="s">
        <v>129</v>
      </c>
      <c r="B594" s="30" t="s">
        <v>36</v>
      </c>
      <c r="C594" s="76" t="s">
        <v>130</v>
      </c>
      <c r="D594" s="48" t="s">
        <v>131</v>
      </c>
      <c r="E594" s="59">
        <v>100.0</v>
      </c>
      <c r="F594" s="32" t="s">
        <v>10</v>
      </c>
      <c r="G594" s="32" t="s">
        <v>71</v>
      </c>
      <c r="H594" s="70">
        <v>100.0</v>
      </c>
      <c r="I594" s="53">
        <v>1.710004599E9</v>
      </c>
      <c r="J594" s="58" t="s">
        <v>132</v>
      </c>
      <c r="K594" s="58" t="s">
        <v>56</v>
      </c>
      <c r="L594" s="33">
        <v>7.100003944E9</v>
      </c>
      <c r="M594" s="36" t="str">
        <f t="shared" si="88"/>
        <v>SUDAH PO</v>
      </c>
      <c r="N594" s="56">
        <v>46208.0</v>
      </c>
      <c r="O594" s="38" t="str">
        <f t="shared" si="89"/>
        <v>BELUM DATANG</v>
      </c>
      <c r="P594" s="37"/>
      <c r="Q594" s="37"/>
      <c r="R594" s="70">
        <f t="shared" si="90"/>
        <v>-100</v>
      </c>
    </row>
    <row r="595">
      <c r="A595" s="74"/>
      <c r="B595" s="30" t="s">
        <v>36</v>
      </c>
      <c r="C595" s="47" t="s">
        <v>541</v>
      </c>
      <c r="D595" s="47" t="s">
        <v>138</v>
      </c>
      <c r="E595" s="70">
        <v>14.0</v>
      </c>
      <c r="F595" s="38" t="s">
        <v>106</v>
      </c>
      <c r="G595" s="37"/>
      <c r="H595" s="70"/>
      <c r="I595" s="37"/>
      <c r="J595" s="38"/>
      <c r="K595" s="38"/>
      <c r="L595" s="36"/>
      <c r="M595" s="36" t="str">
        <f t="shared" si="88"/>
        <v>BELUM PO</v>
      </c>
      <c r="N595" s="37"/>
      <c r="O595" s="38" t="str">
        <f t="shared" si="89"/>
        <v>BELUM DATANG</v>
      </c>
      <c r="P595" s="37"/>
      <c r="Q595" s="37"/>
      <c r="R595" s="70">
        <f t="shared" si="90"/>
        <v>0</v>
      </c>
    </row>
    <row r="596">
      <c r="A596" s="38" t="s">
        <v>542</v>
      </c>
      <c r="B596" s="30" t="s">
        <v>36</v>
      </c>
      <c r="C596" s="72" t="s">
        <v>140</v>
      </c>
      <c r="D596" s="72" t="s">
        <v>109</v>
      </c>
      <c r="E596" s="136">
        <v>0.0</v>
      </c>
      <c r="F596" s="71" t="s">
        <v>110</v>
      </c>
      <c r="G596" s="32" t="s">
        <v>71</v>
      </c>
      <c r="H596" s="150" t="s">
        <v>485</v>
      </c>
      <c r="I596" s="151" t="s">
        <v>485</v>
      </c>
      <c r="J596" s="50"/>
      <c r="K596" s="50"/>
      <c r="L596" s="51"/>
      <c r="M596" s="51" t="str">
        <f t="shared" si="88"/>
        <v>BELUM PO</v>
      </c>
      <c r="N596" s="49"/>
      <c r="O596" s="50" t="str">
        <f t="shared" si="89"/>
        <v>BELUM DATANG</v>
      </c>
      <c r="P596" s="49"/>
      <c r="Q596" s="49"/>
      <c r="R596" s="151" t="s">
        <v>485</v>
      </c>
    </row>
    <row r="597">
      <c r="A597" s="38" t="s">
        <v>111</v>
      </c>
      <c r="B597" s="30" t="s">
        <v>36</v>
      </c>
      <c r="C597" s="72" t="s">
        <v>112</v>
      </c>
      <c r="D597" s="72" t="s">
        <v>141</v>
      </c>
      <c r="E597" s="136">
        <v>224.0</v>
      </c>
      <c r="F597" s="122" t="s">
        <v>110</v>
      </c>
      <c r="G597" s="32" t="s">
        <v>71</v>
      </c>
      <c r="H597" s="136">
        <v>224.0</v>
      </c>
      <c r="I597" s="49"/>
      <c r="J597" s="51"/>
      <c r="K597" s="51"/>
      <c r="L597" s="51"/>
      <c r="M597" s="51" t="str">
        <f t="shared" si="88"/>
        <v>BELUM PO</v>
      </c>
      <c r="N597" s="49"/>
      <c r="O597" s="50" t="str">
        <f t="shared" si="89"/>
        <v>BELUM DATANG</v>
      </c>
      <c r="P597" s="49"/>
      <c r="Q597" s="49"/>
      <c r="R597" s="101">
        <f t="shared" ref="R597:R605" si="91">Q597-H597</f>
        <v>-224</v>
      </c>
    </row>
    <row r="598">
      <c r="A598" s="38" t="s">
        <v>114</v>
      </c>
      <c r="B598" s="30" t="s">
        <v>36</v>
      </c>
      <c r="C598" s="48" t="s">
        <v>115</v>
      </c>
      <c r="D598" s="48" t="s">
        <v>116</v>
      </c>
      <c r="E598" s="59">
        <v>15.0</v>
      </c>
      <c r="F598" s="32" t="s">
        <v>117</v>
      </c>
      <c r="G598" s="32" t="s">
        <v>71</v>
      </c>
      <c r="H598" s="54">
        <v>15.0</v>
      </c>
      <c r="I598" s="37">
        <v>1.710004599E9</v>
      </c>
      <c r="J598" s="38" t="s">
        <v>64</v>
      </c>
      <c r="K598" s="56">
        <v>46301.0</v>
      </c>
      <c r="L598" s="33">
        <v>7.100003978E9</v>
      </c>
      <c r="M598" s="36" t="str">
        <f t="shared" si="88"/>
        <v>SUDAH PO</v>
      </c>
      <c r="N598" s="33" t="s">
        <v>78</v>
      </c>
      <c r="O598" s="38" t="str">
        <f t="shared" si="89"/>
        <v>BELUM DATANG</v>
      </c>
      <c r="P598" s="37"/>
      <c r="Q598" s="37"/>
      <c r="R598" s="70">
        <f t="shared" si="91"/>
        <v>-15</v>
      </c>
    </row>
    <row r="599">
      <c r="A599" s="38" t="s">
        <v>118</v>
      </c>
      <c r="B599" s="30" t="s">
        <v>36</v>
      </c>
      <c r="C599" s="48" t="s">
        <v>119</v>
      </c>
      <c r="D599" s="48" t="s">
        <v>142</v>
      </c>
      <c r="E599" s="59">
        <v>16.0</v>
      </c>
      <c r="F599" s="32" t="s">
        <v>117</v>
      </c>
      <c r="G599" s="32" t="s">
        <v>71</v>
      </c>
      <c r="H599" s="54">
        <v>16.0</v>
      </c>
      <c r="I599" s="53">
        <v>1.710004599E9</v>
      </c>
      <c r="J599" s="58" t="s">
        <v>64</v>
      </c>
      <c r="K599" s="35">
        <v>46301.0</v>
      </c>
      <c r="L599" s="33">
        <v>7.100003946E9</v>
      </c>
      <c r="M599" s="36" t="str">
        <f t="shared" si="88"/>
        <v>SUDAH PO</v>
      </c>
      <c r="N599" s="56">
        <v>46332.0</v>
      </c>
      <c r="O599" s="38" t="str">
        <f t="shared" si="89"/>
        <v>CLOSE</v>
      </c>
      <c r="P599" s="56">
        <v>46118.0</v>
      </c>
      <c r="Q599" s="33">
        <v>16.0</v>
      </c>
      <c r="R599" s="70">
        <f t="shared" si="91"/>
        <v>0</v>
      </c>
    </row>
    <row r="600">
      <c r="A600" s="38" t="s">
        <v>543</v>
      </c>
      <c r="B600" s="30" t="s">
        <v>36</v>
      </c>
      <c r="C600" s="48" t="s">
        <v>530</v>
      </c>
      <c r="D600" s="48" t="s">
        <v>63</v>
      </c>
      <c r="E600" s="134">
        <v>8.0</v>
      </c>
      <c r="F600" s="38" t="s">
        <v>10</v>
      </c>
      <c r="G600" s="32" t="s">
        <v>71</v>
      </c>
      <c r="H600" s="70">
        <v>8.0</v>
      </c>
      <c r="I600" s="53">
        <v>1.710004543E9</v>
      </c>
      <c r="J600" s="54" t="s">
        <v>45</v>
      </c>
      <c r="K600" s="61">
        <v>46331.0</v>
      </c>
      <c r="L600" s="36">
        <v>7.1000039E9</v>
      </c>
      <c r="M600" s="36" t="str">
        <f t="shared" si="88"/>
        <v>SUDAH PO</v>
      </c>
      <c r="N600" s="33" t="s">
        <v>55</v>
      </c>
      <c r="O600" s="38" t="str">
        <f t="shared" si="89"/>
        <v>CLOSE</v>
      </c>
      <c r="P600" s="33" t="s">
        <v>64</v>
      </c>
      <c r="Q600" s="37">
        <v>8.0</v>
      </c>
      <c r="R600" s="70">
        <f t="shared" si="91"/>
        <v>0</v>
      </c>
    </row>
    <row r="601">
      <c r="A601" s="38" t="s">
        <v>544</v>
      </c>
      <c r="B601" s="30" t="s">
        <v>36</v>
      </c>
      <c r="C601" s="48" t="s">
        <v>67</v>
      </c>
      <c r="D601" s="48" t="s">
        <v>67</v>
      </c>
      <c r="E601" s="70">
        <v>7.0</v>
      </c>
      <c r="F601" s="38" t="s">
        <v>10</v>
      </c>
      <c r="G601" s="32" t="s">
        <v>71</v>
      </c>
      <c r="H601" s="70">
        <v>7.0</v>
      </c>
      <c r="I601" s="58">
        <v>1.710004599E9</v>
      </c>
      <c r="J601" s="34" t="s">
        <v>64</v>
      </c>
      <c r="K601" s="35">
        <v>46301.0</v>
      </c>
      <c r="L601" s="33">
        <v>7.100003974E9</v>
      </c>
      <c r="M601" s="36" t="str">
        <f t="shared" si="88"/>
        <v>SUDAH PO</v>
      </c>
      <c r="N601" s="33" t="s">
        <v>56</v>
      </c>
      <c r="O601" s="38" t="str">
        <f t="shared" si="89"/>
        <v>BELUM DATANG</v>
      </c>
      <c r="P601" s="37"/>
      <c r="Q601" s="37"/>
      <c r="R601" s="70">
        <f t="shared" si="91"/>
        <v>-7</v>
      </c>
    </row>
    <row r="602">
      <c r="A602" s="38" t="s">
        <v>545</v>
      </c>
      <c r="B602" s="30" t="s">
        <v>36</v>
      </c>
      <c r="C602" s="48" t="s">
        <v>70</v>
      </c>
      <c r="D602" s="48" t="s">
        <v>70</v>
      </c>
      <c r="E602" s="70">
        <v>1.0</v>
      </c>
      <c r="F602" s="38" t="s">
        <v>10</v>
      </c>
      <c r="G602" s="32" t="s">
        <v>71</v>
      </c>
      <c r="H602" s="70">
        <v>1.0</v>
      </c>
      <c r="I602" s="37">
        <v>1.710004543E9</v>
      </c>
      <c r="J602" s="58" t="s">
        <v>45</v>
      </c>
      <c r="K602" s="61">
        <v>46331.0</v>
      </c>
      <c r="L602" s="36">
        <v>7.1000039E9</v>
      </c>
      <c r="M602" s="36" t="str">
        <f t="shared" si="88"/>
        <v>SUDAH PO</v>
      </c>
      <c r="N602" s="37" t="s">
        <v>55</v>
      </c>
      <c r="O602" s="38" t="str">
        <f t="shared" si="89"/>
        <v>CLOSE</v>
      </c>
      <c r="P602" s="33" t="s">
        <v>64</v>
      </c>
      <c r="Q602" s="33">
        <v>1.0</v>
      </c>
      <c r="R602" s="70">
        <f t="shared" si="91"/>
        <v>0</v>
      </c>
    </row>
    <row r="603">
      <c r="A603" s="38" t="s">
        <v>546</v>
      </c>
      <c r="B603" s="30" t="s">
        <v>36</v>
      </c>
      <c r="C603" s="48" t="s">
        <v>74</v>
      </c>
      <c r="D603" s="48" t="s">
        <v>74</v>
      </c>
      <c r="E603" s="70">
        <v>14.0</v>
      </c>
      <c r="F603" s="38" t="s">
        <v>10</v>
      </c>
      <c r="G603" s="32" t="s">
        <v>71</v>
      </c>
      <c r="H603" s="70">
        <v>14.0</v>
      </c>
      <c r="I603" s="34">
        <v>1.710004543E9</v>
      </c>
      <c r="J603" s="34" t="s">
        <v>45</v>
      </c>
      <c r="K603" s="35">
        <v>46331.0</v>
      </c>
      <c r="L603" s="34">
        <v>7.1000039E9</v>
      </c>
      <c r="M603" s="36" t="str">
        <f t="shared" si="88"/>
        <v>SUDAH PO</v>
      </c>
      <c r="N603" s="33" t="s">
        <v>46</v>
      </c>
      <c r="O603" s="38" t="str">
        <f t="shared" si="89"/>
        <v>CLOSE</v>
      </c>
      <c r="P603" s="37" t="s">
        <v>64</v>
      </c>
      <c r="Q603" s="37">
        <v>14.0</v>
      </c>
      <c r="R603" s="70">
        <f t="shared" si="91"/>
        <v>0</v>
      </c>
    </row>
    <row r="604">
      <c r="A604" s="38" t="s">
        <v>150</v>
      </c>
      <c r="B604" s="30" t="s">
        <v>36</v>
      </c>
      <c r="C604" s="48" t="s">
        <v>151</v>
      </c>
      <c r="D604" s="48" t="s">
        <v>152</v>
      </c>
      <c r="E604" s="70">
        <v>10.0</v>
      </c>
      <c r="F604" s="38" t="s">
        <v>44</v>
      </c>
      <c r="G604" s="37"/>
      <c r="H604" s="81">
        <f t="shared" ref="H604:H605" si="92">E604/2.4</f>
        <v>4.166666667</v>
      </c>
      <c r="I604" s="53">
        <v>1.710004543E9</v>
      </c>
      <c r="J604" s="58" t="s">
        <v>45</v>
      </c>
      <c r="K604" s="55">
        <v>46331.0</v>
      </c>
      <c r="L604" s="33">
        <v>7.100003899E9</v>
      </c>
      <c r="M604" s="36" t="str">
        <f t="shared" si="88"/>
        <v>SUDAH PO</v>
      </c>
      <c r="N604" s="33" t="s">
        <v>153</v>
      </c>
      <c r="O604" s="38" t="str">
        <f t="shared" si="89"/>
        <v>DATANG SEBAGIAN</v>
      </c>
      <c r="P604" s="56">
        <v>46239.0</v>
      </c>
      <c r="Q604" s="33">
        <v>4.0</v>
      </c>
      <c r="R604" s="70">
        <f t="shared" si="91"/>
        <v>-0.1666666667</v>
      </c>
    </row>
    <row r="605">
      <c r="A605" s="38" t="s">
        <v>150</v>
      </c>
      <c r="B605" s="30" t="s">
        <v>36</v>
      </c>
      <c r="C605" s="48" t="s">
        <v>154</v>
      </c>
      <c r="D605" s="48" t="s">
        <v>152</v>
      </c>
      <c r="E605" s="70">
        <v>10.0</v>
      </c>
      <c r="F605" s="38" t="s">
        <v>44</v>
      </c>
      <c r="G605" s="37"/>
      <c r="H605" s="81">
        <f t="shared" si="92"/>
        <v>4.166666667</v>
      </c>
      <c r="I605" s="53">
        <v>1.710004543E9</v>
      </c>
      <c r="J605" s="58" t="s">
        <v>45</v>
      </c>
      <c r="K605" s="55">
        <v>46331.0</v>
      </c>
      <c r="L605" s="33">
        <v>7.100003899E9</v>
      </c>
      <c r="M605" s="36" t="str">
        <f t="shared" si="88"/>
        <v>SUDAH PO</v>
      </c>
      <c r="N605" s="33" t="s">
        <v>153</v>
      </c>
      <c r="O605" s="38" t="str">
        <f t="shared" si="89"/>
        <v>DATANG SEBAGIAN</v>
      </c>
      <c r="P605" s="56">
        <v>46239.0</v>
      </c>
      <c r="Q605" s="33">
        <v>4.0</v>
      </c>
      <c r="R605" s="70">
        <f t="shared" si="91"/>
        <v>-0.1666666667</v>
      </c>
    </row>
    <row r="606">
      <c r="A606" s="82" t="s">
        <v>155</v>
      </c>
      <c r="B606" s="30" t="s">
        <v>36</v>
      </c>
      <c r="C606" s="48" t="s">
        <v>156</v>
      </c>
      <c r="D606" s="48" t="s">
        <v>157</v>
      </c>
      <c r="E606" s="70">
        <v>6.0</v>
      </c>
      <c r="F606" s="38" t="s">
        <v>10</v>
      </c>
      <c r="G606" s="37"/>
      <c r="H606" s="83" t="s">
        <v>158</v>
      </c>
      <c r="I606" s="37"/>
      <c r="J606" s="38"/>
      <c r="K606" s="38"/>
      <c r="L606" s="33" t="s">
        <v>159</v>
      </c>
      <c r="M606" s="36" t="str">
        <f t="shared" si="88"/>
        <v>READY STOK</v>
      </c>
      <c r="N606" s="37"/>
      <c r="O606" s="38" t="str">
        <f t="shared" si="89"/>
        <v>BELUM DATANG</v>
      </c>
      <c r="P606" s="37"/>
      <c r="Q606" s="37"/>
      <c r="R606" s="37">
        <f>Q606-G606</f>
        <v>0</v>
      </c>
    </row>
    <row r="607">
      <c r="A607" s="57" t="s">
        <v>547</v>
      </c>
      <c r="B607" s="30" t="s">
        <v>36</v>
      </c>
      <c r="C607" s="84" t="s">
        <v>548</v>
      </c>
      <c r="D607" s="48" t="s">
        <v>162</v>
      </c>
      <c r="E607" s="137">
        <v>1.0</v>
      </c>
      <c r="F607" s="57" t="s">
        <v>163</v>
      </c>
      <c r="G607" s="85" t="s">
        <v>71</v>
      </c>
      <c r="H607" s="137">
        <v>1.0</v>
      </c>
      <c r="I607" s="85">
        <v>1.710004599E9</v>
      </c>
      <c r="J607" s="57" t="s">
        <v>64</v>
      </c>
      <c r="K607" s="87">
        <v>46301.0</v>
      </c>
      <c r="L607" s="86"/>
      <c r="M607" s="86" t="str">
        <f t="shared" si="88"/>
        <v>BELUM PO</v>
      </c>
      <c r="N607" s="85"/>
      <c r="O607" s="88" t="str">
        <f t="shared" si="89"/>
        <v>BELUM DATANG</v>
      </c>
      <c r="P607" s="85"/>
      <c r="Q607" s="85"/>
      <c r="R607" s="137">
        <f>Q607-H607</f>
        <v>-1</v>
      </c>
    </row>
    <row r="608">
      <c r="A608" s="89"/>
      <c r="B608" s="30" t="s">
        <v>36</v>
      </c>
      <c r="C608" s="89"/>
      <c r="D608" s="48" t="s">
        <v>164</v>
      </c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</row>
    <row r="609">
      <c r="A609" s="89"/>
      <c r="B609" s="30" t="s">
        <v>36</v>
      </c>
      <c r="C609" s="89"/>
      <c r="D609" s="48" t="s">
        <v>165</v>
      </c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</row>
    <row r="610">
      <c r="A610" s="89"/>
      <c r="B610" s="30" t="s">
        <v>36</v>
      </c>
      <c r="C610" s="89"/>
      <c r="D610" s="48" t="s">
        <v>166</v>
      </c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</row>
    <row r="611">
      <c r="A611" s="89"/>
      <c r="B611" s="30" t="s">
        <v>36</v>
      </c>
      <c r="C611" s="89"/>
      <c r="D611" s="48" t="s">
        <v>167</v>
      </c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</row>
    <row r="612">
      <c r="A612" s="89"/>
      <c r="B612" s="30" t="s">
        <v>36</v>
      </c>
      <c r="C612" s="89"/>
      <c r="D612" s="48" t="s">
        <v>168</v>
      </c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</row>
    <row r="613">
      <c r="A613" s="89"/>
      <c r="B613" s="30" t="s">
        <v>36</v>
      </c>
      <c r="C613" s="89"/>
      <c r="D613" s="48" t="s">
        <v>169</v>
      </c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</row>
    <row r="614">
      <c r="A614" s="89"/>
      <c r="B614" s="30" t="s">
        <v>36</v>
      </c>
      <c r="C614" s="89"/>
      <c r="D614" s="48" t="s">
        <v>170</v>
      </c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</row>
    <row r="615">
      <c r="A615" s="89"/>
      <c r="B615" s="30" t="s">
        <v>36</v>
      </c>
      <c r="C615" s="89"/>
      <c r="D615" s="48" t="s">
        <v>171</v>
      </c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</row>
    <row r="616">
      <c r="A616" s="18"/>
      <c r="B616" s="30" t="s">
        <v>36</v>
      </c>
      <c r="C616" s="18"/>
      <c r="D616" s="48" t="s">
        <v>172</v>
      </c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</row>
    <row r="617">
      <c r="A617" s="159"/>
      <c r="B617" s="159"/>
      <c r="C617" s="159"/>
      <c r="D617" s="159"/>
      <c r="E617" s="159"/>
      <c r="F617" s="159"/>
      <c r="G617" s="160"/>
      <c r="H617" s="145"/>
      <c r="I617" s="44"/>
      <c r="J617" s="24"/>
      <c r="K617" s="161"/>
      <c r="L617" s="25"/>
      <c r="M617" s="25"/>
      <c r="N617" s="44"/>
      <c r="O617" s="24"/>
      <c r="P617" s="44"/>
      <c r="Q617" s="44"/>
      <c r="R617" s="44"/>
    </row>
    <row r="618">
      <c r="A618" s="75" t="s">
        <v>549</v>
      </c>
      <c r="B618" s="162"/>
      <c r="C618" s="76" t="s">
        <v>550</v>
      </c>
      <c r="D618" s="48" t="s">
        <v>550</v>
      </c>
      <c r="E618" s="70">
        <v>17.0</v>
      </c>
      <c r="F618" s="38" t="s">
        <v>10</v>
      </c>
      <c r="G618" s="37"/>
      <c r="H618" s="70">
        <v>17.0</v>
      </c>
      <c r="I618" s="37">
        <v>1.710004599E9</v>
      </c>
      <c r="J618" s="58" t="s">
        <v>64</v>
      </c>
      <c r="K618" s="58" t="s">
        <v>551</v>
      </c>
      <c r="L618" s="36"/>
      <c r="M618" s="36" t="str">
        <f t="shared" ref="M618:M619" si="93">IF(LEN(L618)=10,"SUDAH PO",IF(L618="STOK","READY STOK",IF(L618="PL","READY STOK","BELUM PO")))</f>
        <v>BELUM PO</v>
      </c>
      <c r="N618" s="37"/>
      <c r="O618" s="38" t="str">
        <f t="shared" ref="O618:O619" si="94">IF(H618="STOK","STOK",IF(ISBLANK(P618),"BELUM DATANG",IF(R618=0,"CLOSE","DATANG SEBAGIAN")))</f>
        <v>BELUM DATANG</v>
      </c>
      <c r="P618" s="37"/>
      <c r="Q618" s="37"/>
      <c r="R618" s="70">
        <f t="shared" ref="R618:R619" si="95">Q618-H618</f>
        <v>-17</v>
      </c>
    </row>
    <row r="619">
      <c r="A619" s="75" t="s">
        <v>552</v>
      </c>
      <c r="B619" s="162"/>
      <c r="C619" s="76" t="s">
        <v>553</v>
      </c>
      <c r="D619" s="48" t="s">
        <v>553</v>
      </c>
      <c r="E619" s="70">
        <v>23.0</v>
      </c>
      <c r="F619" s="38" t="s">
        <v>10</v>
      </c>
      <c r="G619" s="37"/>
      <c r="H619" s="70">
        <v>23.0</v>
      </c>
      <c r="I619" s="37">
        <v>1.710004599E9</v>
      </c>
      <c r="J619" s="58" t="s">
        <v>64</v>
      </c>
      <c r="K619" s="58" t="s">
        <v>551</v>
      </c>
      <c r="L619" s="36"/>
      <c r="M619" s="36" t="str">
        <f t="shared" si="93"/>
        <v>BELUM PO</v>
      </c>
      <c r="N619" s="37"/>
      <c r="O619" s="38" t="str">
        <f t="shared" si="94"/>
        <v>BELUM DATANG</v>
      </c>
      <c r="P619" s="37"/>
      <c r="Q619" s="37"/>
      <c r="R619" s="70">
        <f t="shared" si="95"/>
        <v>-23</v>
      </c>
    </row>
    <row r="620">
      <c r="A620" s="42"/>
      <c r="B620" s="159"/>
      <c r="C620" s="42"/>
      <c r="D620" s="42"/>
      <c r="E620" s="42"/>
      <c r="F620" s="42"/>
      <c r="G620" s="43"/>
      <c r="H620" s="145"/>
      <c r="I620" s="44"/>
      <c r="J620" s="24"/>
      <c r="K620" s="24"/>
      <c r="L620" s="25"/>
      <c r="M620" s="25"/>
      <c r="N620" s="44"/>
      <c r="O620" s="24"/>
      <c r="P620" s="44"/>
      <c r="Q620" s="44"/>
      <c r="R620" s="44"/>
    </row>
    <row r="621">
      <c r="A621" s="163" t="s">
        <v>554</v>
      </c>
      <c r="B621" s="164" t="s">
        <v>555</v>
      </c>
      <c r="C621" s="165" t="s">
        <v>556</v>
      </c>
      <c r="D621" s="76" t="s">
        <v>557</v>
      </c>
      <c r="E621" s="70">
        <v>1.0</v>
      </c>
      <c r="F621" s="38" t="s">
        <v>10</v>
      </c>
      <c r="G621" s="37"/>
      <c r="H621" s="137">
        <v>1.0</v>
      </c>
      <c r="I621" s="85">
        <v>1.710004599E9</v>
      </c>
      <c r="J621" s="57" t="s">
        <v>64</v>
      </c>
      <c r="K621" s="57" t="s">
        <v>56</v>
      </c>
      <c r="L621" s="86"/>
      <c r="M621" s="86" t="str">
        <f>IF(LEN(L621)=10,"SUDAH PO",IF(L621="STOK","READY STOK",IF(L621="PL","READY STOK","BELUM PO")))</f>
        <v>BELUM PO</v>
      </c>
      <c r="N621" s="85"/>
      <c r="O621" s="57" t="str">
        <f>IF(H621="STOK","STOK",IF(ISBLANK(P621),"BELUM DATANG",IF(R621=0,"CLOSE","DATANG SEBAGIAN")))</f>
        <v>BELUM DATANG</v>
      </c>
      <c r="P621" s="85"/>
      <c r="Q621" s="85"/>
      <c r="R621" s="137">
        <f>Q621-H621</f>
        <v>-1</v>
      </c>
    </row>
    <row r="622">
      <c r="A622" s="89"/>
      <c r="B622" s="164" t="s">
        <v>555</v>
      </c>
      <c r="C622" s="89"/>
      <c r="D622" s="76" t="s">
        <v>558</v>
      </c>
      <c r="E622" s="70">
        <v>1.0</v>
      </c>
      <c r="F622" s="38" t="s">
        <v>163</v>
      </c>
      <c r="G622" s="37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</row>
    <row r="623">
      <c r="A623" s="89"/>
      <c r="B623" s="164" t="s">
        <v>555</v>
      </c>
      <c r="C623" s="89"/>
      <c r="D623" s="76" t="s">
        <v>559</v>
      </c>
      <c r="E623" s="70">
        <v>20.0</v>
      </c>
      <c r="F623" s="38" t="s">
        <v>44</v>
      </c>
      <c r="G623" s="37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</row>
    <row r="624">
      <c r="A624" s="89"/>
      <c r="B624" s="164" t="s">
        <v>555</v>
      </c>
      <c r="C624" s="89"/>
      <c r="D624" s="76" t="s">
        <v>560</v>
      </c>
      <c r="E624" s="70">
        <v>50.0</v>
      </c>
      <c r="F624" s="38" t="s">
        <v>44</v>
      </c>
      <c r="G624" s="37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</row>
    <row r="625">
      <c r="A625" s="89"/>
      <c r="B625" s="164" t="s">
        <v>555</v>
      </c>
      <c r="C625" s="89"/>
      <c r="D625" s="76" t="s">
        <v>561</v>
      </c>
      <c r="E625" s="70">
        <v>2.0</v>
      </c>
      <c r="F625" s="38" t="s">
        <v>562</v>
      </c>
      <c r="G625" s="37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</row>
    <row r="626">
      <c r="A626" s="89"/>
      <c r="B626" s="164" t="s">
        <v>555</v>
      </c>
      <c r="C626" s="89"/>
      <c r="D626" s="76" t="s">
        <v>563</v>
      </c>
      <c r="E626" s="70">
        <v>4.0</v>
      </c>
      <c r="F626" s="38" t="s">
        <v>562</v>
      </c>
      <c r="G626" s="37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</row>
    <row r="627">
      <c r="A627" s="89"/>
      <c r="B627" s="164" t="s">
        <v>555</v>
      </c>
      <c r="C627" s="89"/>
      <c r="D627" s="76" t="s">
        <v>564</v>
      </c>
      <c r="E627" s="70">
        <v>1.0</v>
      </c>
      <c r="F627" s="38" t="s">
        <v>10</v>
      </c>
      <c r="G627" s="37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</row>
    <row r="628">
      <c r="A628" s="18"/>
      <c r="B628" s="164" t="s">
        <v>555</v>
      </c>
      <c r="C628" s="18"/>
      <c r="D628" s="76" t="s">
        <v>565</v>
      </c>
      <c r="E628" s="70">
        <v>2.0</v>
      </c>
      <c r="F628" s="38" t="s">
        <v>562</v>
      </c>
      <c r="G628" s="37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</row>
    <row r="629">
      <c r="A629" s="38" t="s">
        <v>566</v>
      </c>
      <c r="B629" s="166" t="s">
        <v>29</v>
      </c>
      <c r="C629" s="48" t="s">
        <v>466</v>
      </c>
      <c r="D629" s="106" t="s">
        <v>567</v>
      </c>
      <c r="E629" s="109">
        <v>24.0</v>
      </c>
      <c r="F629" s="59" t="s">
        <v>10</v>
      </c>
      <c r="G629" s="32" t="s">
        <v>27</v>
      </c>
      <c r="H629" s="109">
        <v>24.0</v>
      </c>
      <c r="I629" s="33">
        <v>1.710004644E9</v>
      </c>
      <c r="J629" s="56">
        <v>46059.0</v>
      </c>
      <c r="K629" s="56">
        <v>46301.0</v>
      </c>
      <c r="L629" s="36"/>
      <c r="M629" s="36" t="str">
        <f t="shared" ref="M629:M686" si="96">IF(LEN(L629)=10,"SUDAH PO",IF(L629="STOK","READY STOK",IF(L629="PL","READY STOK","BELUM PO")))</f>
        <v>BELUM PO</v>
      </c>
      <c r="N629" s="37"/>
      <c r="O629" s="38" t="str">
        <f t="shared" ref="O629:O686" si="97">IF(H629="STOK","STOK",IF(ISBLANK(P629),"BELUM DATANG",IF(R629=0,"CLOSE","DATANG SEBAGIAN")))</f>
        <v>BELUM DATANG</v>
      </c>
      <c r="P629" s="37"/>
      <c r="Q629" s="37"/>
      <c r="R629" s="37">
        <f t="shared" ref="R629:R679" si="98">Q629-H629</f>
        <v>-24</v>
      </c>
    </row>
    <row r="630">
      <c r="A630" s="38" t="s">
        <v>568</v>
      </c>
      <c r="B630" s="166" t="s">
        <v>29</v>
      </c>
      <c r="C630" s="48" t="s">
        <v>466</v>
      </c>
      <c r="D630" s="106" t="s">
        <v>569</v>
      </c>
      <c r="E630" s="109">
        <v>24.0</v>
      </c>
      <c r="F630" s="59" t="s">
        <v>10</v>
      </c>
      <c r="G630" s="32" t="s">
        <v>71</v>
      </c>
      <c r="H630" s="109">
        <v>24.0</v>
      </c>
      <c r="I630" s="33">
        <v>1.710004644E9</v>
      </c>
      <c r="J630" s="56">
        <v>46059.0</v>
      </c>
      <c r="K630" s="56">
        <v>46301.0</v>
      </c>
      <c r="L630" s="36"/>
      <c r="M630" s="36" t="str">
        <f t="shared" si="96"/>
        <v>BELUM PO</v>
      </c>
      <c r="N630" s="37"/>
      <c r="O630" s="38" t="str">
        <f t="shared" si="97"/>
        <v>BELUM DATANG</v>
      </c>
      <c r="P630" s="37"/>
      <c r="Q630" s="37"/>
      <c r="R630" s="37">
        <f t="shared" si="98"/>
        <v>-24</v>
      </c>
    </row>
    <row r="631">
      <c r="A631" s="38" t="s">
        <v>570</v>
      </c>
      <c r="B631" s="166" t="s">
        <v>30</v>
      </c>
      <c r="C631" s="48" t="s">
        <v>466</v>
      </c>
      <c r="D631" s="106" t="s">
        <v>567</v>
      </c>
      <c r="E631" s="109">
        <v>24.0</v>
      </c>
      <c r="F631" s="59" t="s">
        <v>10</v>
      </c>
      <c r="G631" s="32" t="s">
        <v>27</v>
      </c>
      <c r="H631" s="109">
        <v>24.0</v>
      </c>
      <c r="I631" s="33">
        <v>1.710004644E9</v>
      </c>
      <c r="J631" s="56">
        <v>46059.0</v>
      </c>
      <c r="K631" s="56">
        <v>46301.0</v>
      </c>
      <c r="L631" s="36"/>
      <c r="M631" s="36" t="str">
        <f t="shared" si="96"/>
        <v>BELUM PO</v>
      </c>
      <c r="N631" s="37"/>
      <c r="O631" s="38" t="str">
        <f t="shared" si="97"/>
        <v>BELUM DATANG</v>
      </c>
      <c r="P631" s="37"/>
      <c r="Q631" s="37"/>
      <c r="R631" s="37">
        <f t="shared" si="98"/>
        <v>-24</v>
      </c>
    </row>
    <row r="632">
      <c r="A632" s="38" t="s">
        <v>571</v>
      </c>
      <c r="B632" s="166" t="s">
        <v>30</v>
      </c>
      <c r="C632" s="48" t="s">
        <v>466</v>
      </c>
      <c r="D632" s="106" t="s">
        <v>572</v>
      </c>
      <c r="E632" s="109">
        <v>24.0</v>
      </c>
      <c r="F632" s="59" t="s">
        <v>10</v>
      </c>
      <c r="G632" s="32" t="s">
        <v>71</v>
      </c>
      <c r="H632" s="109">
        <v>24.0</v>
      </c>
      <c r="I632" s="33">
        <v>1.710004644E9</v>
      </c>
      <c r="J632" s="56">
        <v>46059.0</v>
      </c>
      <c r="K632" s="56">
        <v>46301.0</v>
      </c>
      <c r="L632" s="36"/>
      <c r="M632" s="36" t="str">
        <f t="shared" si="96"/>
        <v>BELUM PO</v>
      </c>
      <c r="N632" s="37"/>
      <c r="O632" s="38" t="str">
        <f t="shared" si="97"/>
        <v>BELUM DATANG</v>
      </c>
      <c r="P632" s="37"/>
      <c r="Q632" s="37"/>
      <c r="R632" s="37">
        <f t="shared" si="98"/>
        <v>-24</v>
      </c>
    </row>
    <row r="633">
      <c r="A633" s="38" t="s">
        <v>573</v>
      </c>
      <c r="B633" s="166" t="s">
        <v>36</v>
      </c>
      <c r="C633" s="48" t="s">
        <v>466</v>
      </c>
      <c r="D633" s="105" t="s">
        <v>567</v>
      </c>
      <c r="E633" s="32">
        <v>9.0</v>
      </c>
      <c r="F633" s="59" t="s">
        <v>10</v>
      </c>
      <c r="G633" s="33" t="s">
        <v>71</v>
      </c>
      <c r="H633" s="32">
        <v>9.0</v>
      </c>
      <c r="I633" s="33">
        <v>1.710004644E9</v>
      </c>
      <c r="J633" s="56">
        <v>46059.0</v>
      </c>
      <c r="K633" s="56">
        <v>46301.0</v>
      </c>
      <c r="L633" s="36"/>
      <c r="M633" s="36" t="str">
        <f t="shared" si="96"/>
        <v>BELUM PO</v>
      </c>
      <c r="N633" s="37"/>
      <c r="O633" s="38" t="str">
        <f t="shared" si="97"/>
        <v>BELUM DATANG</v>
      </c>
      <c r="P633" s="37"/>
      <c r="Q633" s="37"/>
      <c r="R633" s="37">
        <f t="shared" si="98"/>
        <v>-9</v>
      </c>
    </row>
    <row r="634">
      <c r="A634" s="33" t="s">
        <v>574</v>
      </c>
      <c r="B634" s="166" t="s">
        <v>29</v>
      </c>
      <c r="C634" s="97" t="s">
        <v>383</v>
      </c>
      <c r="D634" s="167" t="s">
        <v>575</v>
      </c>
      <c r="E634" s="32">
        <v>12.0</v>
      </c>
      <c r="F634" s="59" t="s">
        <v>10</v>
      </c>
      <c r="G634" s="32" t="s">
        <v>27</v>
      </c>
      <c r="H634" s="32">
        <v>12.0</v>
      </c>
      <c r="I634" s="33">
        <v>1.710004644E9</v>
      </c>
      <c r="J634" s="56">
        <v>46059.0</v>
      </c>
      <c r="K634" s="56">
        <v>46301.0</v>
      </c>
      <c r="L634" s="36"/>
      <c r="M634" s="36" t="str">
        <f t="shared" si="96"/>
        <v>BELUM PO</v>
      </c>
      <c r="N634" s="37"/>
      <c r="O634" s="38" t="str">
        <f t="shared" si="97"/>
        <v>BELUM DATANG</v>
      </c>
      <c r="P634" s="37"/>
      <c r="Q634" s="37"/>
      <c r="R634" s="37">
        <f t="shared" si="98"/>
        <v>-12</v>
      </c>
    </row>
    <row r="635">
      <c r="A635" s="33" t="s">
        <v>574</v>
      </c>
      <c r="B635" s="166" t="s">
        <v>29</v>
      </c>
      <c r="C635" s="97" t="s">
        <v>386</v>
      </c>
      <c r="D635" s="167" t="s">
        <v>575</v>
      </c>
      <c r="E635" s="32">
        <v>12.0</v>
      </c>
      <c r="F635" s="59" t="s">
        <v>10</v>
      </c>
      <c r="G635" s="32" t="s">
        <v>27</v>
      </c>
      <c r="H635" s="32">
        <v>12.0</v>
      </c>
      <c r="I635" s="33">
        <v>1.710004644E9</v>
      </c>
      <c r="J635" s="56">
        <v>46059.0</v>
      </c>
      <c r="K635" s="56">
        <v>46301.0</v>
      </c>
      <c r="L635" s="36"/>
      <c r="M635" s="36" t="str">
        <f t="shared" si="96"/>
        <v>BELUM PO</v>
      </c>
      <c r="N635" s="37"/>
      <c r="O635" s="38" t="str">
        <f t="shared" si="97"/>
        <v>BELUM DATANG</v>
      </c>
      <c r="P635" s="37"/>
      <c r="Q635" s="37"/>
      <c r="R635" s="37">
        <f t="shared" si="98"/>
        <v>-12</v>
      </c>
    </row>
    <row r="636">
      <c r="A636" s="33" t="s">
        <v>574</v>
      </c>
      <c r="B636" s="166" t="s">
        <v>30</v>
      </c>
      <c r="C636" s="97" t="s">
        <v>383</v>
      </c>
      <c r="D636" s="167" t="s">
        <v>575</v>
      </c>
      <c r="E636" s="32">
        <v>12.0</v>
      </c>
      <c r="F636" s="59" t="s">
        <v>10</v>
      </c>
      <c r="G636" s="32" t="s">
        <v>27</v>
      </c>
      <c r="H636" s="32">
        <v>12.0</v>
      </c>
      <c r="I636" s="33">
        <v>1.710004644E9</v>
      </c>
      <c r="J636" s="56">
        <v>46059.0</v>
      </c>
      <c r="K636" s="56">
        <v>46301.0</v>
      </c>
      <c r="L636" s="36"/>
      <c r="M636" s="36" t="str">
        <f t="shared" si="96"/>
        <v>BELUM PO</v>
      </c>
      <c r="N636" s="37"/>
      <c r="O636" s="38" t="str">
        <f t="shared" si="97"/>
        <v>BELUM DATANG</v>
      </c>
      <c r="P636" s="37"/>
      <c r="Q636" s="37"/>
      <c r="R636" s="37">
        <f t="shared" si="98"/>
        <v>-12</v>
      </c>
    </row>
    <row r="637">
      <c r="A637" s="33" t="s">
        <v>574</v>
      </c>
      <c r="B637" s="166" t="s">
        <v>30</v>
      </c>
      <c r="C637" s="97" t="s">
        <v>386</v>
      </c>
      <c r="D637" s="167" t="s">
        <v>575</v>
      </c>
      <c r="E637" s="32">
        <v>12.0</v>
      </c>
      <c r="F637" s="59" t="s">
        <v>10</v>
      </c>
      <c r="G637" s="32" t="s">
        <v>27</v>
      </c>
      <c r="H637" s="32">
        <v>12.0</v>
      </c>
      <c r="I637" s="33">
        <v>1.710004644E9</v>
      </c>
      <c r="J637" s="56">
        <v>46059.0</v>
      </c>
      <c r="K637" s="56">
        <v>46301.0</v>
      </c>
      <c r="L637" s="36"/>
      <c r="M637" s="36" t="str">
        <f t="shared" si="96"/>
        <v>BELUM PO</v>
      </c>
      <c r="N637" s="37"/>
      <c r="O637" s="38" t="str">
        <f t="shared" si="97"/>
        <v>BELUM DATANG</v>
      </c>
      <c r="P637" s="37"/>
      <c r="Q637" s="37"/>
      <c r="R637" s="37">
        <f t="shared" si="98"/>
        <v>-12</v>
      </c>
    </row>
    <row r="638">
      <c r="A638" s="33" t="s">
        <v>328</v>
      </c>
      <c r="B638" s="166" t="s">
        <v>29</v>
      </c>
      <c r="C638" s="166" t="s">
        <v>329</v>
      </c>
      <c r="D638" s="105" t="s">
        <v>576</v>
      </c>
      <c r="E638" s="32">
        <v>12.0</v>
      </c>
      <c r="F638" s="59" t="s">
        <v>10</v>
      </c>
      <c r="G638" s="40" t="s">
        <v>86</v>
      </c>
      <c r="H638" s="32">
        <v>12.0</v>
      </c>
      <c r="I638" s="33">
        <v>1.710004644E9</v>
      </c>
      <c r="J638" s="56" t="s">
        <v>577</v>
      </c>
      <c r="K638" s="56">
        <v>46301.0</v>
      </c>
      <c r="L638" s="36"/>
      <c r="M638" s="36" t="str">
        <f t="shared" si="96"/>
        <v>BELUM PO</v>
      </c>
      <c r="N638" s="37"/>
      <c r="O638" s="38" t="str">
        <f t="shared" si="97"/>
        <v>BELUM DATANG</v>
      </c>
      <c r="P638" s="37"/>
      <c r="Q638" s="37"/>
      <c r="R638" s="37">
        <f t="shared" si="98"/>
        <v>-12</v>
      </c>
    </row>
    <row r="639">
      <c r="A639" s="33" t="s">
        <v>328</v>
      </c>
      <c r="B639" s="166" t="s">
        <v>29</v>
      </c>
      <c r="C639" s="166" t="s">
        <v>329</v>
      </c>
      <c r="D639" s="105" t="s">
        <v>576</v>
      </c>
      <c r="E639" s="32">
        <v>12.0</v>
      </c>
      <c r="F639" s="59" t="s">
        <v>10</v>
      </c>
      <c r="G639" s="32" t="s">
        <v>27</v>
      </c>
      <c r="H639" s="32">
        <v>12.0</v>
      </c>
      <c r="I639" s="33">
        <v>1.710004644E9</v>
      </c>
      <c r="J639" s="56" t="s">
        <v>577</v>
      </c>
      <c r="K639" s="56">
        <v>46301.0</v>
      </c>
      <c r="L639" s="36"/>
      <c r="M639" s="36" t="str">
        <f t="shared" si="96"/>
        <v>BELUM PO</v>
      </c>
      <c r="N639" s="37"/>
      <c r="O639" s="38" t="str">
        <f t="shared" si="97"/>
        <v>BELUM DATANG</v>
      </c>
      <c r="P639" s="37"/>
      <c r="Q639" s="37"/>
      <c r="R639" s="37">
        <f t="shared" si="98"/>
        <v>-12</v>
      </c>
    </row>
    <row r="640">
      <c r="A640" s="33" t="s">
        <v>328</v>
      </c>
      <c r="B640" s="166" t="s">
        <v>30</v>
      </c>
      <c r="C640" s="166" t="s">
        <v>329</v>
      </c>
      <c r="D640" s="105" t="s">
        <v>576</v>
      </c>
      <c r="E640" s="32">
        <v>12.0</v>
      </c>
      <c r="F640" s="59" t="s">
        <v>10</v>
      </c>
      <c r="G640" s="32" t="s">
        <v>27</v>
      </c>
      <c r="H640" s="32">
        <v>12.0</v>
      </c>
      <c r="I640" s="33">
        <v>1.710004644E9</v>
      </c>
      <c r="J640" s="56" t="s">
        <v>577</v>
      </c>
      <c r="K640" s="56">
        <v>46301.0</v>
      </c>
      <c r="L640" s="36"/>
      <c r="M640" s="36" t="str">
        <f t="shared" si="96"/>
        <v>BELUM PO</v>
      </c>
      <c r="N640" s="37"/>
      <c r="O640" s="38" t="str">
        <f t="shared" si="97"/>
        <v>BELUM DATANG</v>
      </c>
      <c r="P640" s="37"/>
      <c r="Q640" s="37"/>
      <c r="R640" s="37">
        <f t="shared" si="98"/>
        <v>-12</v>
      </c>
    </row>
    <row r="641">
      <c r="A641" s="33" t="s">
        <v>328</v>
      </c>
      <c r="B641" s="166" t="s">
        <v>30</v>
      </c>
      <c r="C641" s="166" t="s">
        <v>329</v>
      </c>
      <c r="D641" s="105" t="s">
        <v>576</v>
      </c>
      <c r="E641" s="32">
        <v>12.0</v>
      </c>
      <c r="F641" s="59" t="s">
        <v>10</v>
      </c>
      <c r="G641" s="40" t="s">
        <v>27</v>
      </c>
      <c r="H641" s="32">
        <v>12.0</v>
      </c>
      <c r="I641" s="33">
        <v>1.710004644E9</v>
      </c>
      <c r="J641" s="56" t="s">
        <v>577</v>
      </c>
      <c r="K641" s="56">
        <v>46301.0</v>
      </c>
      <c r="L641" s="36"/>
      <c r="M641" s="36" t="str">
        <f t="shared" si="96"/>
        <v>BELUM PO</v>
      </c>
      <c r="N641" s="37"/>
      <c r="O641" s="38" t="str">
        <f t="shared" si="97"/>
        <v>BELUM DATANG</v>
      </c>
      <c r="P641" s="37"/>
      <c r="Q641" s="37"/>
      <c r="R641" s="37">
        <f t="shared" si="98"/>
        <v>-12</v>
      </c>
    </row>
    <row r="642">
      <c r="A642" s="33" t="s">
        <v>578</v>
      </c>
      <c r="B642" s="30" t="s">
        <v>30</v>
      </c>
      <c r="C642" s="48" t="s">
        <v>53</v>
      </c>
      <c r="D642" s="97" t="s">
        <v>579</v>
      </c>
      <c r="E642" s="33">
        <v>2.0</v>
      </c>
      <c r="F642" s="37" t="s">
        <v>10</v>
      </c>
      <c r="G642" s="32" t="s">
        <v>27</v>
      </c>
      <c r="H642" s="33">
        <v>2.0</v>
      </c>
      <c r="I642" s="34">
        <v>1.710004658E9</v>
      </c>
      <c r="J642" s="35">
        <v>46240.0</v>
      </c>
      <c r="K642" s="35">
        <v>46301.0</v>
      </c>
      <c r="L642" s="33"/>
      <c r="M642" s="36" t="str">
        <f t="shared" si="96"/>
        <v>BELUM PO</v>
      </c>
      <c r="N642" s="56"/>
      <c r="O642" s="38" t="str">
        <f t="shared" si="97"/>
        <v>BELUM DATANG</v>
      </c>
      <c r="P642" s="37"/>
      <c r="Q642" s="37"/>
      <c r="R642" s="37">
        <f t="shared" si="98"/>
        <v>-2</v>
      </c>
    </row>
    <row r="643">
      <c r="A643" s="33" t="s">
        <v>580</v>
      </c>
      <c r="B643" s="30" t="s">
        <v>29</v>
      </c>
      <c r="C643" s="48" t="s">
        <v>53</v>
      </c>
      <c r="D643" s="48" t="s">
        <v>280</v>
      </c>
      <c r="E643" s="33">
        <v>4.0</v>
      </c>
      <c r="F643" s="38" t="s">
        <v>10</v>
      </c>
      <c r="G643" s="33" t="s">
        <v>71</v>
      </c>
      <c r="H643" s="33">
        <v>4.0</v>
      </c>
      <c r="I643" s="69">
        <v>1.710004599E9</v>
      </c>
      <c r="J643" s="56">
        <v>46148.0</v>
      </c>
      <c r="K643" s="56">
        <v>46301.0</v>
      </c>
      <c r="L643" s="33">
        <v>7.100003986E9</v>
      </c>
      <c r="M643" s="36" t="str">
        <f t="shared" si="96"/>
        <v>SUDAH PO</v>
      </c>
      <c r="N643" s="56">
        <v>46301.0</v>
      </c>
      <c r="O643" s="38" t="str">
        <f t="shared" si="97"/>
        <v>BELUM DATANG</v>
      </c>
      <c r="P643" s="37"/>
      <c r="Q643" s="37"/>
      <c r="R643" s="37">
        <f t="shared" si="98"/>
        <v>-4</v>
      </c>
    </row>
    <row r="644">
      <c r="A644" s="168"/>
      <c r="B644" s="30" t="s">
        <v>581</v>
      </c>
      <c r="C644" s="169" t="s">
        <v>582</v>
      </c>
      <c r="D644" s="105" t="s">
        <v>583</v>
      </c>
      <c r="E644" s="32">
        <v>1.0</v>
      </c>
      <c r="F644" s="32" t="s">
        <v>40</v>
      </c>
      <c r="G644" s="32">
        <v>0.0</v>
      </c>
      <c r="H644" s="33"/>
      <c r="I644" s="69"/>
      <c r="J644" s="56"/>
      <c r="K644" s="56"/>
      <c r="L644" s="33"/>
      <c r="M644" s="36" t="str">
        <f t="shared" si="96"/>
        <v>BELUM PO</v>
      </c>
      <c r="N644" s="56"/>
      <c r="O644" s="38" t="str">
        <f t="shared" si="97"/>
        <v>BELUM DATANG</v>
      </c>
      <c r="P644" s="37"/>
      <c r="Q644" s="37"/>
      <c r="R644" s="37">
        <f t="shared" si="98"/>
        <v>0</v>
      </c>
    </row>
    <row r="645">
      <c r="A645" s="168"/>
      <c r="B645" s="30" t="s">
        <v>581</v>
      </c>
      <c r="C645" s="169" t="s">
        <v>584</v>
      </c>
      <c r="D645" s="170"/>
      <c r="E645" s="32">
        <v>1.0</v>
      </c>
      <c r="F645" s="32" t="s">
        <v>40</v>
      </c>
      <c r="G645" s="32">
        <v>0.0</v>
      </c>
      <c r="H645" s="33"/>
      <c r="I645" s="69"/>
      <c r="J645" s="56"/>
      <c r="K645" s="56"/>
      <c r="L645" s="33"/>
      <c r="M645" s="36" t="str">
        <f t="shared" si="96"/>
        <v>BELUM PO</v>
      </c>
      <c r="N645" s="56"/>
      <c r="O645" s="38" t="str">
        <f t="shared" si="97"/>
        <v>BELUM DATANG</v>
      </c>
      <c r="P645" s="37"/>
      <c r="Q645" s="37"/>
      <c r="R645" s="37">
        <f t="shared" si="98"/>
        <v>0</v>
      </c>
    </row>
    <row r="646">
      <c r="A646" s="168"/>
      <c r="B646" s="30" t="s">
        <v>581</v>
      </c>
      <c r="C646" s="105" t="s">
        <v>585</v>
      </c>
      <c r="D646" s="171"/>
      <c r="E646" s="32">
        <v>6.0</v>
      </c>
      <c r="F646" s="32" t="s">
        <v>40</v>
      </c>
      <c r="G646" s="32">
        <v>0.0</v>
      </c>
      <c r="H646" s="33"/>
      <c r="I646" s="69"/>
      <c r="J646" s="56"/>
      <c r="K646" s="56"/>
      <c r="L646" s="33"/>
      <c r="M646" s="36" t="str">
        <f t="shared" si="96"/>
        <v>BELUM PO</v>
      </c>
      <c r="N646" s="56"/>
      <c r="O646" s="38" t="str">
        <f t="shared" si="97"/>
        <v>BELUM DATANG</v>
      </c>
      <c r="P646" s="37"/>
      <c r="Q646" s="37"/>
      <c r="R646" s="37">
        <f t="shared" si="98"/>
        <v>0</v>
      </c>
    </row>
    <row r="647">
      <c r="A647" s="29" t="s">
        <v>586</v>
      </c>
      <c r="B647" s="30" t="s">
        <v>581</v>
      </c>
      <c r="C647" s="105" t="s">
        <v>587</v>
      </c>
      <c r="D647" s="171"/>
      <c r="E647" s="32">
        <v>6.0</v>
      </c>
      <c r="F647" s="32" t="s">
        <v>10</v>
      </c>
      <c r="G647" s="32">
        <v>0.0</v>
      </c>
      <c r="H647" s="33">
        <v>6.0</v>
      </c>
      <c r="I647" s="69">
        <v>1.710004543E9</v>
      </c>
      <c r="J647" s="33" t="s">
        <v>45</v>
      </c>
      <c r="K647" s="56">
        <v>46301.0</v>
      </c>
      <c r="L647" s="33"/>
      <c r="M647" s="36" t="str">
        <f t="shared" si="96"/>
        <v>BELUM PO</v>
      </c>
      <c r="N647" s="56"/>
      <c r="O647" s="38" t="str">
        <f t="shared" si="97"/>
        <v>BELUM DATANG</v>
      </c>
      <c r="P647" s="37"/>
      <c r="Q647" s="37"/>
      <c r="R647" s="37">
        <f t="shared" si="98"/>
        <v>-6</v>
      </c>
    </row>
    <row r="648">
      <c r="A648" s="29" t="s">
        <v>588</v>
      </c>
      <c r="B648" s="30" t="s">
        <v>581</v>
      </c>
      <c r="C648" s="105" t="s">
        <v>589</v>
      </c>
      <c r="D648" s="171"/>
      <c r="E648" s="32">
        <v>48.0</v>
      </c>
      <c r="F648" s="32" t="s">
        <v>10</v>
      </c>
      <c r="G648" s="32">
        <v>0.0</v>
      </c>
      <c r="H648" s="33">
        <v>48.0</v>
      </c>
      <c r="I648" s="69">
        <v>1.710004599E9</v>
      </c>
      <c r="J648" s="33" t="s">
        <v>132</v>
      </c>
      <c r="K648" s="56">
        <v>46301.0</v>
      </c>
      <c r="L648" s="33">
        <v>7.100003954E9</v>
      </c>
      <c r="M648" s="36" t="str">
        <f t="shared" si="96"/>
        <v>SUDAH PO</v>
      </c>
      <c r="N648" s="56">
        <v>46301.0</v>
      </c>
      <c r="O648" s="38" t="str">
        <f t="shared" si="97"/>
        <v>BELUM DATANG</v>
      </c>
      <c r="P648" s="37"/>
      <c r="Q648" s="37"/>
      <c r="R648" s="37">
        <f t="shared" si="98"/>
        <v>-48</v>
      </c>
    </row>
    <row r="649">
      <c r="A649" s="29" t="s">
        <v>590</v>
      </c>
      <c r="B649" s="30" t="s">
        <v>581</v>
      </c>
      <c r="C649" s="105" t="s">
        <v>591</v>
      </c>
      <c r="D649" s="105" t="s">
        <v>592</v>
      </c>
      <c r="E649" s="32">
        <v>28.0</v>
      </c>
      <c r="F649" s="32" t="s">
        <v>44</v>
      </c>
      <c r="G649" s="32">
        <v>0.0</v>
      </c>
      <c r="H649" s="33">
        <v>28.0</v>
      </c>
      <c r="I649" s="69">
        <v>1.710004534E9</v>
      </c>
      <c r="J649" s="33" t="s">
        <v>593</v>
      </c>
      <c r="K649" s="33" t="s">
        <v>594</v>
      </c>
      <c r="L649" s="33">
        <v>7.100003884E9</v>
      </c>
      <c r="M649" s="36" t="str">
        <f t="shared" si="96"/>
        <v>SUDAH PO</v>
      </c>
      <c r="N649" s="56">
        <v>46085.0</v>
      </c>
      <c r="O649" s="38" t="str">
        <f t="shared" si="97"/>
        <v>CLOSE</v>
      </c>
      <c r="P649" s="56">
        <v>46118.0</v>
      </c>
      <c r="Q649" s="33">
        <v>28.0</v>
      </c>
      <c r="R649" s="37">
        <f t="shared" si="98"/>
        <v>0</v>
      </c>
    </row>
    <row r="650">
      <c r="A650" s="29" t="s">
        <v>595</v>
      </c>
      <c r="B650" s="30" t="s">
        <v>581</v>
      </c>
      <c r="C650" s="105" t="s">
        <v>596</v>
      </c>
      <c r="D650" s="105" t="s">
        <v>597</v>
      </c>
      <c r="E650" s="32">
        <v>2.0</v>
      </c>
      <c r="F650" s="32" t="s">
        <v>26</v>
      </c>
      <c r="G650" s="172" t="s">
        <v>86</v>
      </c>
      <c r="H650" s="33">
        <v>2.0</v>
      </c>
      <c r="I650" s="69">
        <v>1.710004658E9</v>
      </c>
      <c r="J650" s="56">
        <v>46148.0</v>
      </c>
      <c r="K650" s="56">
        <v>46301.0</v>
      </c>
      <c r="L650" s="33"/>
      <c r="M650" s="36" t="str">
        <f t="shared" si="96"/>
        <v>BELUM PO</v>
      </c>
      <c r="N650" s="56"/>
      <c r="O650" s="38" t="str">
        <f t="shared" si="97"/>
        <v>BELUM DATANG</v>
      </c>
      <c r="P650" s="37"/>
      <c r="Q650" s="37"/>
      <c r="R650" s="37">
        <f t="shared" si="98"/>
        <v>-2</v>
      </c>
    </row>
    <row r="651">
      <c r="A651" s="29" t="s">
        <v>590</v>
      </c>
      <c r="B651" s="30" t="s">
        <v>581</v>
      </c>
      <c r="C651" s="105" t="s">
        <v>598</v>
      </c>
      <c r="D651" s="105" t="s">
        <v>599</v>
      </c>
      <c r="E651" s="32">
        <v>32.0</v>
      </c>
      <c r="F651" s="32" t="s">
        <v>44</v>
      </c>
      <c r="G651" s="32">
        <v>0.0</v>
      </c>
      <c r="H651" s="33">
        <v>32.0</v>
      </c>
      <c r="I651" s="69">
        <v>1.710004534E9</v>
      </c>
      <c r="J651" s="33" t="s">
        <v>593</v>
      </c>
      <c r="K651" s="33" t="s">
        <v>594</v>
      </c>
      <c r="L651" s="33">
        <v>7.100003884E9</v>
      </c>
      <c r="M651" s="36" t="str">
        <f t="shared" si="96"/>
        <v>SUDAH PO</v>
      </c>
      <c r="N651" s="56">
        <v>46085.0</v>
      </c>
      <c r="O651" s="38" t="str">
        <f t="shared" si="97"/>
        <v>CLOSE</v>
      </c>
      <c r="P651" s="56">
        <v>46118.0</v>
      </c>
      <c r="Q651" s="33">
        <v>32.0</v>
      </c>
      <c r="R651" s="37">
        <f t="shared" si="98"/>
        <v>0</v>
      </c>
    </row>
    <row r="652">
      <c r="A652" s="29" t="s">
        <v>600</v>
      </c>
      <c r="B652" s="30" t="s">
        <v>581</v>
      </c>
      <c r="C652" s="105" t="s">
        <v>596</v>
      </c>
      <c r="D652" s="105" t="s">
        <v>597</v>
      </c>
      <c r="E652" s="32">
        <v>2.0</v>
      </c>
      <c r="F652" s="32" t="s">
        <v>26</v>
      </c>
      <c r="G652" s="172" t="s">
        <v>86</v>
      </c>
      <c r="H652" s="33">
        <v>2.0</v>
      </c>
      <c r="I652" s="69">
        <v>1.710004658E9</v>
      </c>
      <c r="J652" s="56">
        <v>46148.0</v>
      </c>
      <c r="K652" s="56">
        <v>46301.0</v>
      </c>
      <c r="L652" s="33"/>
      <c r="M652" s="36" t="str">
        <f t="shared" si="96"/>
        <v>BELUM PO</v>
      </c>
      <c r="N652" s="56"/>
      <c r="O652" s="38" t="str">
        <f t="shared" si="97"/>
        <v>BELUM DATANG</v>
      </c>
      <c r="P652" s="37"/>
      <c r="Q652" s="37"/>
      <c r="R652" s="37">
        <f t="shared" si="98"/>
        <v>-2</v>
      </c>
    </row>
    <row r="653">
      <c r="A653" s="29" t="s">
        <v>601</v>
      </c>
      <c r="B653" s="30" t="s">
        <v>581</v>
      </c>
      <c r="C653" s="105" t="s">
        <v>602</v>
      </c>
      <c r="D653" s="105" t="s">
        <v>603</v>
      </c>
      <c r="E653" s="32">
        <v>10.0</v>
      </c>
      <c r="F653" s="32" t="s">
        <v>44</v>
      </c>
      <c r="G653" s="32">
        <v>0.0</v>
      </c>
      <c r="H653" s="33">
        <v>10.0</v>
      </c>
      <c r="I653" s="69">
        <v>1.710004534E9</v>
      </c>
      <c r="J653" s="33" t="s">
        <v>604</v>
      </c>
      <c r="K653" s="33" t="s">
        <v>605</v>
      </c>
      <c r="L653" s="33">
        <v>7.100003884E9</v>
      </c>
      <c r="M653" s="36" t="str">
        <f t="shared" si="96"/>
        <v>SUDAH PO</v>
      </c>
      <c r="N653" s="56">
        <v>46085.0</v>
      </c>
      <c r="O653" s="38" t="str">
        <f t="shared" si="97"/>
        <v>CLOSE</v>
      </c>
      <c r="P653" s="33" t="s">
        <v>136</v>
      </c>
      <c r="Q653" s="33">
        <v>10.0</v>
      </c>
      <c r="R653" s="37">
        <f t="shared" si="98"/>
        <v>0</v>
      </c>
    </row>
    <row r="654">
      <c r="A654" s="29" t="s">
        <v>606</v>
      </c>
      <c r="B654" s="30" t="s">
        <v>581</v>
      </c>
      <c r="C654" s="105" t="s">
        <v>607</v>
      </c>
      <c r="D654" s="105" t="s">
        <v>608</v>
      </c>
      <c r="E654" s="32">
        <v>2.0</v>
      </c>
      <c r="F654" s="32" t="s">
        <v>26</v>
      </c>
      <c r="G654" s="172" t="s">
        <v>86</v>
      </c>
      <c r="H654" s="33">
        <v>2.0</v>
      </c>
      <c r="I654" s="69">
        <v>1.710004658E9</v>
      </c>
      <c r="J654" s="56">
        <v>46148.0</v>
      </c>
      <c r="K654" s="56">
        <v>46301.0</v>
      </c>
      <c r="L654" s="33"/>
      <c r="M654" s="36" t="str">
        <f t="shared" si="96"/>
        <v>BELUM PO</v>
      </c>
      <c r="N654" s="56"/>
      <c r="O654" s="38" t="str">
        <f t="shared" si="97"/>
        <v>BELUM DATANG</v>
      </c>
      <c r="P654" s="37"/>
      <c r="Q654" s="37"/>
      <c r="R654" s="37">
        <f t="shared" si="98"/>
        <v>-2</v>
      </c>
    </row>
    <row r="655">
      <c r="A655" s="29" t="s">
        <v>601</v>
      </c>
      <c r="B655" s="30" t="s">
        <v>581</v>
      </c>
      <c r="C655" s="105" t="s">
        <v>609</v>
      </c>
      <c r="D655" s="105" t="s">
        <v>603</v>
      </c>
      <c r="E655" s="32">
        <v>14.0</v>
      </c>
      <c r="F655" s="32" t="s">
        <v>44</v>
      </c>
      <c r="G655" s="32">
        <v>0.0</v>
      </c>
      <c r="H655" s="33">
        <v>14.0</v>
      </c>
      <c r="I655" s="69">
        <v>1.710004534E9</v>
      </c>
      <c r="J655" s="33" t="s">
        <v>604</v>
      </c>
      <c r="K655" s="33" t="s">
        <v>605</v>
      </c>
      <c r="L655" s="33">
        <v>7.100003884E9</v>
      </c>
      <c r="M655" s="36" t="str">
        <f t="shared" si="96"/>
        <v>SUDAH PO</v>
      </c>
      <c r="N655" s="56">
        <v>46085.0</v>
      </c>
      <c r="O655" s="38" t="str">
        <f t="shared" si="97"/>
        <v>CLOSE</v>
      </c>
      <c r="P655" s="33" t="s">
        <v>136</v>
      </c>
      <c r="Q655" s="33">
        <v>14.0</v>
      </c>
      <c r="R655" s="37">
        <f t="shared" si="98"/>
        <v>0</v>
      </c>
    </row>
    <row r="656">
      <c r="A656" s="29" t="s">
        <v>610</v>
      </c>
      <c r="B656" s="30" t="s">
        <v>581</v>
      </c>
      <c r="C656" s="105" t="s">
        <v>607</v>
      </c>
      <c r="D656" s="105" t="s">
        <v>608</v>
      </c>
      <c r="E656" s="32">
        <v>2.0</v>
      </c>
      <c r="F656" s="32" t="s">
        <v>26</v>
      </c>
      <c r="G656" s="172" t="s">
        <v>86</v>
      </c>
      <c r="H656" s="33">
        <v>2.0</v>
      </c>
      <c r="I656" s="69">
        <v>1.710004658E9</v>
      </c>
      <c r="J656" s="56">
        <v>46148.0</v>
      </c>
      <c r="K656" s="56">
        <v>46301.0</v>
      </c>
      <c r="L656" s="33"/>
      <c r="M656" s="36" t="str">
        <f t="shared" si="96"/>
        <v>BELUM PO</v>
      </c>
      <c r="N656" s="56"/>
      <c r="O656" s="38" t="str">
        <f t="shared" si="97"/>
        <v>BELUM DATANG</v>
      </c>
      <c r="P656" s="37"/>
      <c r="Q656" s="37"/>
      <c r="R656" s="37">
        <f t="shared" si="98"/>
        <v>-2</v>
      </c>
    </row>
    <row r="657">
      <c r="A657" s="29" t="s">
        <v>590</v>
      </c>
      <c r="B657" s="30" t="s">
        <v>581</v>
      </c>
      <c r="C657" s="105" t="s">
        <v>611</v>
      </c>
      <c r="D657" s="105" t="s">
        <v>599</v>
      </c>
      <c r="E657" s="32">
        <v>34.0</v>
      </c>
      <c r="F657" s="32" t="s">
        <v>44</v>
      </c>
      <c r="G657" s="32">
        <v>0.0</v>
      </c>
      <c r="H657" s="33">
        <v>34.0</v>
      </c>
      <c r="I657" s="69">
        <v>1.710004534E9</v>
      </c>
      <c r="J657" s="33" t="s">
        <v>593</v>
      </c>
      <c r="K657" s="33" t="s">
        <v>594</v>
      </c>
      <c r="L657" s="33">
        <v>7.100003884E9</v>
      </c>
      <c r="M657" s="36" t="str">
        <f t="shared" si="96"/>
        <v>SUDAH PO</v>
      </c>
      <c r="N657" s="56">
        <v>46085.0</v>
      </c>
      <c r="O657" s="38" t="str">
        <f t="shared" si="97"/>
        <v>CLOSE</v>
      </c>
      <c r="P657" s="56">
        <v>46118.0</v>
      </c>
      <c r="Q657" s="33">
        <v>34.0</v>
      </c>
      <c r="R657" s="37">
        <f t="shared" si="98"/>
        <v>0</v>
      </c>
    </row>
    <row r="658">
      <c r="A658" s="29" t="s">
        <v>612</v>
      </c>
      <c r="B658" s="30" t="s">
        <v>581</v>
      </c>
      <c r="C658" s="105" t="s">
        <v>596</v>
      </c>
      <c r="D658" s="105" t="s">
        <v>597</v>
      </c>
      <c r="E658" s="32">
        <v>2.0</v>
      </c>
      <c r="F658" s="32" t="s">
        <v>26</v>
      </c>
      <c r="G658" s="172" t="s">
        <v>86</v>
      </c>
      <c r="H658" s="33">
        <v>2.0</v>
      </c>
      <c r="I658" s="69">
        <v>1.710004658E9</v>
      </c>
      <c r="J658" s="56">
        <v>46148.0</v>
      </c>
      <c r="K658" s="56">
        <v>46301.0</v>
      </c>
      <c r="L658" s="33"/>
      <c r="M658" s="36" t="str">
        <f t="shared" si="96"/>
        <v>BELUM PO</v>
      </c>
      <c r="N658" s="56"/>
      <c r="O658" s="38" t="str">
        <f t="shared" si="97"/>
        <v>BELUM DATANG</v>
      </c>
      <c r="P658" s="37"/>
      <c r="Q658" s="37"/>
      <c r="R658" s="37">
        <f t="shared" si="98"/>
        <v>-2</v>
      </c>
    </row>
    <row r="659">
      <c r="A659" s="29" t="s">
        <v>590</v>
      </c>
      <c r="B659" s="30" t="s">
        <v>581</v>
      </c>
      <c r="C659" s="105" t="s">
        <v>613</v>
      </c>
      <c r="D659" s="105" t="s">
        <v>599</v>
      </c>
      <c r="E659" s="32">
        <v>38.0</v>
      </c>
      <c r="F659" s="32" t="s">
        <v>44</v>
      </c>
      <c r="G659" s="32">
        <v>0.0</v>
      </c>
      <c r="H659" s="33">
        <v>38.0</v>
      </c>
      <c r="I659" s="69">
        <v>1.710004534E9</v>
      </c>
      <c r="J659" s="33" t="s">
        <v>593</v>
      </c>
      <c r="K659" s="33" t="s">
        <v>594</v>
      </c>
      <c r="L659" s="33">
        <v>7.100003884E9</v>
      </c>
      <c r="M659" s="36" t="str">
        <f t="shared" si="96"/>
        <v>SUDAH PO</v>
      </c>
      <c r="N659" s="56">
        <v>46085.0</v>
      </c>
      <c r="O659" s="38" t="str">
        <f t="shared" si="97"/>
        <v>CLOSE</v>
      </c>
      <c r="P659" s="56">
        <v>46118.0</v>
      </c>
      <c r="Q659" s="33">
        <v>38.0</v>
      </c>
      <c r="R659" s="37">
        <f t="shared" si="98"/>
        <v>0</v>
      </c>
    </row>
    <row r="660">
      <c r="A660" s="29" t="s">
        <v>614</v>
      </c>
      <c r="B660" s="30" t="s">
        <v>581</v>
      </c>
      <c r="C660" s="105" t="s">
        <v>596</v>
      </c>
      <c r="D660" s="105" t="s">
        <v>597</v>
      </c>
      <c r="E660" s="32">
        <v>2.0</v>
      </c>
      <c r="F660" s="32" t="s">
        <v>26</v>
      </c>
      <c r="G660" s="172" t="s">
        <v>86</v>
      </c>
      <c r="H660" s="33">
        <v>2.0</v>
      </c>
      <c r="I660" s="69">
        <v>1.710004658E9</v>
      </c>
      <c r="J660" s="56">
        <v>46148.0</v>
      </c>
      <c r="K660" s="56">
        <v>46301.0</v>
      </c>
      <c r="L660" s="33"/>
      <c r="M660" s="36" t="str">
        <f t="shared" si="96"/>
        <v>BELUM PO</v>
      </c>
      <c r="N660" s="56"/>
      <c r="O660" s="38" t="str">
        <f t="shared" si="97"/>
        <v>BELUM DATANG</v>
      </c>
      <c r="P660" s="37"/>
      <c r="Q660" s="37"/>
      <c r="R660" s="37">
        <f t="shared" si="98"/>
        <v>-2</v>
      </c>
    </row>
    <row r="661">
      <c r="A661" s="29" t="s">
        <v>601</v>
      </c>
      <c r="B661" s="30" t="s">
        <v>581</v>
      </c>
      <c r="C661" s="105" t="s">
        <v>615</v>
      </c>
      <c r="D661" s="105" t="s">
        <v>603</v>
      </c>
      <c r="E661" s="32">
        <v>12.0</v>
      </c>
      <c r="F661" s="32" t="s">
        <v>44</v>
      </c>
      <c r="G661" s="32">
        <v>0.0</v>
      </c>
      <c r="H661" s="33">
        <v>12.0</v>
      </c>
      <c r="I661" s="69">
        <v>1.710004534E9</v>
      </c>
      <c r="J661" s="33" t="s">
        <v>604</v>
      </c>
      <c r="K661" s="33" t="s">
        <v>605</v>
      </c>
      <c r="L661" s="33">
        <v>7.100003884E9</v>
      </c>
      <c r="M661" s="36" t="str">
        <f t="shared" si="96"/>
        <v>SUDAH PO</v>
      </c>
      <c r="N661" s="56">
        <v>46085.0</v>
      </c>
      <c r="O661" s="38" t="str">
        <f t="shared" si="97"/>
        <v>CLOSE</v>
      </c>
      <c r="P661" s="33" t="s">
        <v>136</v>
      </c>
      <c r="Q661" s="33">
        <v>12.0</v>
      </c>
      <c r="R661" s="37">
        <f t="shared" si="98"/>
        <v>0</v>
      </c>
    </row>
    <row r="662">
      <c r="A662" s="29" t="s">
        <v>616</v>
      </c>
      <c r="B662" s="30" t="s">
        <v>581</v>
      </c>
      <c r="C662" s="105" t="s">
        <v>607</v>
      </c>
      <c r="D662" s="105" t="s">
        <v>608</v>
      </c>
      <c r="E662" s="32">
        <v>2.0</v>
      </c>
      <c r="F662" s="32" t="s">
        <v>26</v>
      </c>
      <c r="G662" s="172" t="s">
        <v>86</v>
      </c>
      <c r="H662" s="33">
        <v>2.0</v>
      </c>
      <c r="I662" s="69">
        <v>1.710004658E9</v>
      </c>
      <c r="J662" s="56">
        <v>46148.0</v>
      </c>
      <c r="K662" s="56">
        <v>46301.0</v>
      </c>
      <c r="L662" s="33"/>
      <c r="M662" s="36" t="str">
        <f t="shared" si="96"/>
        <v>BELUM PO</v>
      </c>
      <c r="N662" s="56"/>
      <c r="O662" s="38" t="str">
        <f t="shared" si="97"/>
        <v>BELUM DATANG</v>
      </c>
      <c r="P662" s="37"/>
      <c r="Q662" s="37"/>
      <c r="R662" s="37">
        <f t="shared" si="98"/>
        <v>-2</v>
      </c>
    </row>
    <row r="663">
      <c r="A663" s="29" t="s">
        <v>601</v>
      </c>
      <c r="B663" s="30" t="s">
        <v>581</v>
      </c>
      <c r="C663" s="105" t="s">
        <v>617</v>
      </c>
      <c r="D663" s="105" t="s">
        <v>603</v>
      </c>
      <c r="E663" s="32">
        <v>16.0</v>
      </c>
      <c r="F663" s="32" t="s">
        <v>44</v>
      </c>
      <c r="G663" s="32">
        <v>0.0</v>
      </c>
      <c r="H663" s="33">
        <v>16.0</v>
      </c>
      <c r="I663" s="69">
        <v>1.710004534E9</v>
      </c>
      <c r="J663" s="33" t="s">
        <v>604</v>
      </c>
      <c r="K663" s="33" t="s">
        <v>605</v>
      </c>
      <c r="L663" s="33">
        <v>7.100003884E9</v>
      </c>
      <c r="M663" s="36" t="str">
        <f t="shared" si="96"/>
        <v>SUDAH PO</v>
      </c>
      <c r="N663" s="56">
        <v>46085.0</v>
      </c>
      <c r="O663" s="38" t="str">
        <f t="shared" si="97"/>
        <v>CLOSE</v>
      </c>
      <c r="P663" s="33" t="s">
        <v>136</v>
      </c>
      <c r="Q663" s="33">
        <v>16.0</v>
      </c>
      <c r="R663" s="37">
        <f t="shared" si="98"/>
        <v>0</v>
      </c>
    </row>
    <row r="664">
      <c r="A664" s="29" t="s">
        <v>618</v>
      </c>
      <c r="B664" s="30" t="s">
        <v>581</v>
      </c>
      <c r="C664" s="105" t="s">
        <v>607</v>
      </c>
      <c r="D664" s="105" t="s">
        <v>608</v>
      </c>
      <c r="E664" s="32">
        <v>2.0</v>
      </c>
      <c r="F664" s="32" t="s">
        <v>26</v>
      </c>
      <c r="G664" s="172" t="s">
        <v>86</v>
      </c>
      <c r="H664" s="33">
        <v>2.0</v>
      </c>
      <c r="I664" s="69">
        <v>1.710004658E9</v>
      </c>
      <c r="J664" s="56">
        <v>46148.0</v>
      </c>
      <c r="K664" s="56">
        <v>46301.0</v>
      </c>
      <c r="L664" s="33"/>
      <c r="M664" s="36" t="str">
        <f t="shared" si="96"/>
        <v>BELUM PO</v>
      </c>
      <c r="N664" s="56"/>
      <c r="O664" s="38" t="str">
        <f t="shared" si="97"/>
        <v>BELUM DATANG</v>
      </c>
      <c r="P664" s="37"/>
      <c r="Q664" s="37"/>
      <c r="R664" s="37">
        <f t="shared" si="98"/>
        <v>-2</v>
      </c>
    </row>
    <row r="665">
      <c r="A665" s="29" t="s">
        <v>590</v>
      </c>
      <c r="B665" s="30" t="s">
        <v>581</v>
      </c>
      <c r="C665" s="105" t="s">
        <v>619</v>
      </c>
      <c r="D665" s="105" t="s">
        <v>599</v>
      </c>
      <c r="E665" s="32">
        <v>38.0</v>
      </c>
      <c r="F665" s="32" t="s">
        <v>44</v>
      </c>
      <c r="G665" s="32">
        <v>0.0</v>
      </c>
      <c r="H665" s="33">
        <v>38.0</v>
      </c>
      <c r="I665" s="69">
        <v>1.710004534E9</v>
      </c>
      <c r="J665" s="33" t="s">
        <v>593</v>
      </c>
      <c r="K665" s="33" t="s">
        <v>594</v>
      </c>
      <c r="L665" s="33">
        <v>7.100003884E9</v>
      </c>
      <c r="M665" s="36" t="str">
        <f t="shared" si="96"/>
        <v>SUDAH PO</v>
      </c>
      <c r="N665" s="56">
        <v>46085.0</v>
      </c>
      <c r="O665" s="38" t="str">
        <f t="shared" si="97"/>
        <v>CLOSE</v>
      </c>
      <c r="P665" s="56">
        <v>46118.0</v>
      </c>
      <c r="Q665" s="33">
        <v>38.0</v>
      </c>
      <c r="R665" s="37">
        <f t="shared" si="98"/>
        <v>0</v>
      </c>
    </row>
    <row r="666">
      <c r="A666" s="29" t="s">
        <v>620</v>
      </c>
      <c r="B666" s="30" t="s">
        <v>581</v>
      </c>
      <c r="C666" s="105" t="s">
        <v>596</v>
      </c>
      <c r="D666" s="105" t="s">
        <v>597</v>
      </c>
      <c r="E666" s="32">
        <v>2.0</v>
      </c>
      <c r="F666" s="32" t="s">
        <v>26</v>
      </c>
      <c r="G666" s="172" t="s">
        <v>86</v>
      </c>
      <c r="H666" s="33">
        <v>2.0</v>
      </c>
      <c r="I666" s="69">
        <v>1.710004658E9</v>
      </c>
      <c r="J666" s="56">
        <v>46148.0</v>
      </c>
      <c r="K666" s="56">
        <v>46301.0</v>
      </c>
      <c r="L666" s="33"/>
      <c r="M666" s="36" t="str">
        <f t="shared" si="96"/>
        <v>BELUM PO</v>
      </c>
      <c r="N666" s="56"/>
      <c r="O666" s="38" t="str">
        <f t="shared" si="97"/>
        <v>BELUM DATANG</v>
      </c>
      <c r="P666" s="37"/>
      <c r="Q666" s="37"/>
      <c r="R666" s="37">
        <f t="shared" si="98"/>
        <v>-2</v>
      </c>
    </row>
    <row r="667">
      <c r="A667" s="29" t="s">
        <v>601</v>
      </c>
      <c r="B667" s="30" t="s">
        <v>581</v>
      </c>
      <c r="C667" s="105" t="s">
        <v>621</v>
      </c>
      <c r="D667" s="105" t="s">
        <v>603</v>
      </c>
      <c r="E667" s="32">
        <v>12.0</v>
      </c>
      <c r="F667" s="32" t="s">
        <v>44</v>
      </c>
      <c r="G667" s="32">
        <v>0.0</v>
      </c>
      <c r="H667" s="33">
        <v>12.0</v>
      </c>
      <c r="I667" s="69">
        <v>1.710004534E9</v>
      </c>
      <c r="J667" s="33" t="s">
        <v>604</v>
      </c>
      <c r="K667" s="33" t="s">
        <v>605</v>
      </c>
      <c r="L667" s="33">
        <v>7.100003884E9</v>
      </c>
      <c r="M667" s="36" t="str">
        <f t="shared" si="96"/>
        <v>SUDAH PO</v>
      </c>
      <c r="N667" s="56">
        <v>46085.0</v>
      </c>
      <c r="O667" s="38" t="str">
        <f t="shared" si="97"/>
        <v>CLOSE</v>
      </c>
      <c r="P667" s="33" t="s">
        <v>136</v>
      </c>
      <c r="Q667" s="33">
        <v>12.0</v>
      </c>
      <c r="R667" s="37">
        <f t="shared" si="98"/>
        <v>0</v>
      </c>
    </row>
    <row r="668">
      <c r="A668" s="29" t="s">
        <v>622</v>
      </c>
      <c r="B668" s="30" t="s">
        <v>581</v>
      </c>
      <c r="C668" s="105" t="s">
        <v>596</v>
      </c>
      <c r="D668" s="105" t="s">
        <v>597</v>
      </c>
      <c r="E668" s="32">
        <v>2.0</v>
      </c>
      <c r="F668" s="32" t="s">
        <v>26</v>
      </c>
      <c r="G668" s="172" t="s">
        <v>86</v>
      </c>
      <c r="H668" s="33">
        <v>2.0</v>
      </c>
      <c r="I668" s="69">
        <v>1.710004658E9</v>
      </c>
      <c r="J668" s="56">
        <v>46148.0</v>
      </c>
      <c r="K668" s="56">
        <v>46301.0</v>
      </c>
      <c r="L668" s="33"/>
      <c r="M668" s="36" t="str">
        <f t="shared" si="96"/>
        <v>BELUM PO</v>
      </c>
      <c r="N668" s="56"/>
      <c r="O668" s="38" t="str">
        <f t="shared" si="97"/>
        <v>BELUM DATANG</v>
      </c>
      <c r="P668" s="37"/>
      <c r="Q668" s="37"/>
      <c r="R668" s="37">
        <f t="shared" si="98"/>
        <v>-2</v>
      </c>
    </row>
    <row r="669">
      <c r="A669" s="29" t="s">
        <v>623</v>
      </c>
      <c r="B669" s="30" t="s">
        <v>581</v>
      </c>
      <c r="C669" s="105" t="s">
        <v>624</v>
      </c>
      <c r="D669" s="105" t="s">
        <v>625</v>
      </c>
      <c r="E669" s="32">
        <v>6.0</v>
      </c>
      <c r="F669" s="109" t="s">
        <v>110</v>
      </c>
      <c r="G669" s="32">
        <v>0.0</v>
      </c>
      <c r="H669" s="33">
        <v>6.0</v>
      </c>
      <c r="I669" s="69">
        <v>1.710004543E9</v>
      </c>
      <c r="J669" s="33" t="s">
        <v>45</v>
      </c>
      <c r="K669" s="56">
        <v>46117.0</v>
      </c>
      <c r="L669" s="33"/>
      <c r="M669" s="36" t="str">
        <f t="shared" si="96"/>
        <v>BELUM PO</v>
      </c>
      <c r="N669" s="56"/>
      <c r="O669" s="38" t="str">
        <f t="shared" si="97"/>
        <v>BELUM DATANG</v>
      </c>
      <c r="P669" s="37"/>
      <c r="Q669" s="37"/>
      <c r="R669" s="37">
        <f t="shared" si="98"/>
        <v>-6</v>
      </c>
    </row>
    <row r="670">
      <c r="A670" s="29" t="s">
        <v>626</v>
      </c>
      <c r="B670" s="30" t="s">
        <v>581</v>
      </c>
      <c r="C670" s="105" t="s">
        <v>627</v>
      </c>
      <c r="D670" s="105" t="s">
        <v>628</v>
      </c>
      <c r="E670" s="32">
        <v>9.0</v>
      </c>
      <c r="F670" s="109" t="s">
        <v>10</v>
      </c>
      <c r="G670" s="32">
        <v>0.0</v>
      </c>
      <c r="H670" s="33">
        <v>9.0</v>
      </c>
      <c r="I670" s="69">
        <v>1.710004543E9</v>
      </c>
      <c r="J670" s="33" t="s">
        <v>45</v>
      </c>
      <c r="K670" s="56">
        <v>46148.0</v>
      </c>
      <c r="L670" s="33"/>
      <c r="M670" s="36" t="str">
        <f t="shared" si="96"/>
        <v>BELUM PO</v>
      </c>
      <c r="N670" s="56"/>
      <c r="O670" s="38" t="str">
        <f t="shared" si="97"/>
        <v>BELUM DATANG</v>
      </c>
      <c r="P670" s="37"/>
      <c r="Q670" s="37"/>
      <c r="R670" s="37">
        <f t="shared" si="98"/>
        <v>-9</v>
      </c>
    </row>
    <row r="671">
      <c r="A671" s="168"/>
      <c r="B671" s="30" t="s">
        <v>581</v>
      </c>
      <c r="C671" s="169" t="s">
        <v>38</v>
      </c>
      <c r="D671" s="169" t="s">
        <v>39</v>
      </c>
      <c r="E671" s="32">
        <v>1.0</v>
      </c>
      <c r="F671" s="32" t="s">
        <v>40</v>
      </c>
      <c r="G671" s="173"/>
      <c r="H671" s="33"/>
      <c r="I671" s="69"/>
      <c r="J671" s="56"/>
      <c r="K671" s="56"/>
      <c r="L671" s="33"/>
      <c r="M671" s="36" t="str">
        <f t="shared" si="96"/>
        <v>BELUM PO</v>
      </c>
      <c r="N671" s="56"/>
      <c r="O671" s="38" t="str">
        <f t="shared" si="97"/>
        <v>BELUM DATANG</v>
      </c>
      <c r="P671" s="37"/>
      <c r="Q671" s="37"/>
      <c r="R671" s="37">
        <f t="shared" si="98"/>
        <v>0</v>
      </c>
    </row>
    <row r="672">
      <c r="A672" s="29" t="s">
        <v>629</v>
      </c>
      <c r="B672" s="30" t="s">
        <v>581</v>
      </c>
      <c r="C672" s="105" t="s">
        <v>630</v>
      </c>
      <c r="D672" s="105" t="s">
        <v>631</v>
      </c>
      <c r="E672" s="32">
        <v>90.0</v>
      </c>
      <c r="F672" s="32" t="s">
        <v>44</v>
      </c>
      <c r="G672" s="32" t="s">
        <v>86</v>
      </c>
      <c r="H672" s="33" t="s">
        <v>485</v>
      </c>
      <c r="I672" s="69"/>
      <c r="J672" s="56"/>
      <c r="K672" s="56"/>
      <c r="L672" s="33"/>
      <c r="M672" s="36" t="str">
        <f t="shared" si="96"/>
        <v>BELUM PO</v>
      </c>
      <c r="N672" s="56"/>
      <c r="O672" s="38" t="str">
        <f t="shared" si="97"/>
        <v>BELUM DATANG</v>
      </c>
      <c r="P672" s="37"/>
      <c r="Q672" s="37"/>
      <c r="R672" s="37" t="str">
        <f t="shared" si="98"/>
        <v>#VALUE!</v>
      </c>
    </row>
    <row r="673">
      <c r="A673" s="29" t="s">
        <v>629</v>
      </c>
      <c r="B673" s="30" t="s">
        <v>581</v>
      </c>
      <c r="C673" s="105" t="s">
        <v>632</v>
      </c>
      <c r="D673" s="105" t="s">
        <v>633</v>
      </c>
      <c r="E673" s="32">
        <v>63.0</v>
      </c>
      <c r="F673" s="32" t="s">
        <v>44</v>
      </c>
      <c r="G673" s="32" t="s">
        <v>86</v>
      </c>
      <c r="H673" s="33" t="s">
        <v>485</v>
      </c>
      <c r="I673" s="69"/>
      <c r="J673" s="56"/>
      <c r="K673" s="56"/>
      <c r="L673" s="33"/>
      <c r="M673" s="36" t="str">
        <f t="shared" si="96"/>
        <v>BELUM PO</v>
      </c>
      <c r="N673" s="56"/>
      <c r="O673" s="38" t="str">
        <f t="shared" si="97"/>
        <v>BELUM DATANG</v>
      </c>
      <c r="P673" s="37"/>
      <c r="Q673" s="37"/>
      <c r="R673" s="37" t="str">
        <f t="shared" si="98"/>
        <v>#VALUE!</v>
      </c>
    </row>
    <row r="674">
      <c r="A674" s="29" t="s">
        <v>634</v>
      </c>
      <c r="B674" s="30" t="s">
        <v>581</v>
      </c>
      <c r="C674" s="105" t="s">
        <v>635</v>
      </c>
      <c r="D674" s="105" t="s">
        <v>635</v>
      </c>
      <c r="E674" s="32">
        <v>12.0</v>
      </c>
      <c r="F674" s="32" t="s">
        <v>10</v>
      </c>
      <c r="G674" s="32" t="s">
        <v>86</v>
      </c>
      <c r="H674" s="33">
        <v>6.0</v>
      </c>
      <c r="I674" s="69">
        <v>1.710004595E9</v>
      </c>
      <c r="J674" s="56"/>
      <c r="K674" s="56"/>
      <c r="L674" s="33"/>
      <c r="M674" s="36" t="str">
        <f t="shared" si="96"/>
        <v>BELUM PO</v>
      </c>
      <c r="N674" s="56"/>
      <c r="O674" s="38" t="str">
        <f t="shared" si="97"/>
        <v>BELUM DATANG</v>
      </c>
      <c r="P674" s="37"/>
      <c r="Q674" s="37"/>
      <c r="R674" s="37">
        <f t="shared" si="98"/>
        <v>-6</v>
      </c>
    </row>
    <row r="675">
      <c r="A675" s="168"/>
      <c r="B675" s="30" t="s">
        <v>581</v>
      </c>
      <c r="C675" s="105" t="s">
        <v>636</v>
      </c>
      <c r="D675" s="105" t="s">
        <v>636</v>
      </c>
      <c r="E675" s="32">
        <v>12.0</v>
      </c>
      <c r="F675" s="32" t="s">
        <v>10</v>
      </c>
      <c r="G675" s="32" t="s">
        <v>86</v>
      </c>
      <c r="H675" s="33"/>
      <c r="I675" s="69"/>
      <c r="J675" s="56"/>
      <c r="K675" s="56"/>
      <c r="L675" s="33"/>
      <c r="M675" s="36" t="str">
        <f t="shared" si="96"/>
        <v>BELUM PO</v>
      </c>
      <c r="N675" s="56"/>
      <c r="O675" s="38" t="str">
        <f t="shared" si="97"/>
        <v>BELUM DATANG</v>
      </c>
      <c r="P675" s="37"/>
      <c r="Q675" s="37"/>
      <c r="R675" s="37">
        <f t="shared" si="98"/>
        <v>0</v>
      </c>
    </row>
    <row r="676">
      <c r="A676" s="174" t="s">
        <v>637</v>
      </c>
      <c r="B676" s="175" t="s">
        <v>581</v>
      </c>
      <c r="C676" s="176" t="s">
        <v>638</v>
      </c>
      <c r="D676" s="176" t="s">
        <v>639</v>
      </c>
      <c r="E676" s="177">
        <v>126.0</v>
      </c>
      <c r="F676" s="178" t="s">
        <v>44</v>
      </c>
      <c r="G676" s="178" t="s">
        <v>86</v>
      </c>
      <c r="H676" s="33">
        <v>30.0</v>
      </c>
      <c r="I676" s="69">
        <v>1.710004526E9</v>
      </c>
      <c r="J676" s="33" t="s">
        <v>640</v>
      </c>
      <c r="K676" s="56">
        <v>46301.0</v>
      </c>
      <c r="L676" s="33">
        <v>7.100003884E9</v>
      </c>
      <c r="M676" s="36" t="str">
        <f t="shared" si="96"/>
        <v>SUDAH PO</v>
      </c>
      <c r="N676" s="33" t="s">
        <v>45</v>
      </c>
      <c r="O676" s="38" t="str">
        <f t="shared" si="97"/>
        <v>CLOSE</v>
      </c>
      <c r="P676" s="33" t="s">
        <v>136</v>
      </c>
      <c r="Q676" s="33">
        <v>30.0</v>
      </c>
      <c r="R676" s="37">
        <f t="shared" si="98"/>
        <v>0</v>
      </c>
    </row>
    <row r="677">
      <c r="A677" s="89"/>
      <c r="B677" s="89"/>
      <c r="C677" s="89"/>
      <c r="D677" s="89"/>
      <c r="E677" s="89"/>
      <c r="F677" s="89"/>
      <c r="G677" s="89"/>
      <c r="H677" s="33">
        <v>90.0</v>
      </c>
      <c r="I677" s="69">
        <v>1.710004599E9</v>
      </c>
      <c r="J677" s="33" t="s">
        <v>132</v>
      </c>
      <c r="K677" s="56">
        <v>46301.0</v>
      </c>
      <c r="L677" s="33"/>
      <c r="M677" s="36" t="str">
        <f t="shared" si="96"/>
        <v>BELUM PO</v>
      </c>
      <c r="N677" s="33"/>
      <c r="O677" s="38" t="str">
        <f t="shared" si="97"/>
        <v>BELUM DATANG</v>
      </c>
      <c r="P677" s="33"/>
      <c r="Q677" s="33"/>
      <c r="R677" s="37">
        <f t="shared" si="98"/>
        <v>-90</v>
      </c>
    </row>
    <row r="678">
      <c r="A678" s="18"/>
      <c r="B678" s="18"/>
      <c r="C678" s="18"/>
      <c r="D678" s="18"/>
      <c r="E678" s="18"/>
      <c r="F678" s="18"/>
      <c r="G678" s="18"/>
      <c r="H678" s="33">
        <v>6.0</v>
      </c>
      <c r="I678" s="69">
        <v>1.710004658E9</v>
      </c>
      <c r="J678" s="56">
        <v>46148.0</v>
      </c>
      <c r="K678" s="56">
        <v>46301.0</v>
      </c>
      <c r="L678" s="33"/>
      <c r="M678" s="36" t="str">
        <f t="shared" si="96"/>
        <v>BELUM PO</v>
      </c>
      <c r="N678" s="33"/>
      <c r="O678" s="38" t="str">
        <f t="shared" si="97"/>
        <v>BELUM DATANG</v>
      </c>
      <c r="P678" s="33"/>
      <c r="Q678" s="33"/>
      <c r="R678" s="37">
        <f t="shared" si="98"/>
        <v>-6</v>
      </c>
    </row>
    <row r="679">
      <c r="A679" s="174" t="s">
        <v>641</v>
      </c>
      <c r="B679" s="175" t="s">
        <v>581</v>
      </c>
      <c r="C679" s="176" t="s">
        <v>642</v>
      </c>
      <c r="D679" s="176" t="s">
        <v>643</v>
      </c>
      <c r="E679" s="177">
        <v>216.0</v>
      </c>
      <c r="F679" s="178" t="s">
        <v>44</v>
      </c>
      <c r="G679" s="178" t="s">
        <v>86</v>
      </c>
      <c r="H679" s="33">
        <v>32.0</v>
      </c>
      <c r="I679" s="69">
        <v>1.710004526E9</v>
      </c>
      <c r="J679" s="33" t="s">
        <v>640</v>
      </c>
      <c r="K679" s="56">
        <v>46301.0</v>
      </c>
      <c r="L679" s="33">
        <v>7.100003884E9</v>
      </c>
      <c r="M679" s="36" t="str">
        <f t="shared" si="96"/>
        <v>SUDAH PO</v>
      </c>
      <c r="N679" s="33" t="s">
        <v>55</v>
      </c>
      <c r="O679" s="38" t="str">
        <f t="shared" si="97"/>
        <v>CLOSE</v>
      </c>
      <c r="P679" s="33" t="s">
        <v>136</v>
      </c>
      <c r="Q679" s="33">
        <v>32.0</v>
      </c>
      <c r="R679" s="37">
        <f t="shared" si="98"/>
        <v>0</v>
      </c>
    </row>
    <row r="680">
      <c r="A680" s="89"/>
      <c r="B680" s="89"/>
      <c r="C680" s="89"/>
      <c r="D680" s="89"/>
      <c r="E680" s="89"/>
      <c r="F680" s="89"/>
      <c r="G680" s="89"/>
      <c r="H680" s="33">
        <v>88.0</v>
      </c>
      <c r="I680" s="69">
        <v>1.710004599E9</v>
      </c>
      <c r="J680" s="33" t="s">
        <v>132</v>
      </c>
      <c r="K680" s="56">
        <v>46301.0</v>
      </c>
      <c r="L680" s="33"/>
      <c r="M680" s="36" t="str">
        <f t="shared" si="96"/>
        <v>BELUM PO</v>
      </c>
      <c r="N680" s="56"/>
      <c r="O680" s="38" t="str">
        <f t="shared" si="97"/>
        <v>BELUM DATANG</v>
      </c>
      <c r="P680" s="37"/>
      <c r="Q680" s="37"/>
      <c r="R680" s="37"/>
    </row>
    <row r="681">
      <c r="A681" s="18"/>
      <c r="B681" s="18"/>
      <c r="C681" s="18"/>
      <c r="D681" s="18"/>
      <c r="E681" s="18"/>
      <c r="F681" s="18"/>
      <c r="G681" s="18"/>
      <c r="H681" s="33">
        <v>96.0</v>
      </c>
      <c r="I681" s="69">
        <v>1.710004658E9</v>
      </c>
      <c r="J681" s="56">
        <v>46148.0</v>
      </c>
      <c r="K681" s="56">
        <v>46301.0</v>
      </c>
      <c r="L681" s="33"/>
      <c r="M681" s="36" t="str">
        <f t="shared" si="96"/>
        <v>BELUM PO</v>
      </c>
      <c r="N681" s="56"/>
      <c r="O681" s="38" t="str">
        <f t="shared" si="97"/>
        <v>BELUM DATANG</v>
      </c>
      <c r="P681" s="37"/>
      <c r="Q681" s="37"/>
      <c r="R681" s="37"/>
    </row>
    <row r="682">
      <c r="A682" s="174" t="s">
        <v>644</v>
      </c>
      <c r="B682" s="175" t="s">
        <v>581</v>
      </c>
      <c r="C682" s="176" t="s">
        <v>645</v>
      </c>
      <c r="D682" s="176" t="s">
        <v>646</v>
      </c>
      <c r="E682" s="178">
        <v>145.0</v>
      </c>
      <c r="F682" s="178" t="s">
        <v>44</v>
      </c>
      <c r="G682" s="178" t="s">
        <v>86</v>
      </c>
      <c r="H682" s="33">
        <v>85.0</v>
      </c>
      <c r="I682" s="69">
        <v>1.710004526E9</v>
      </c>
      <c r="J682" s="33" t="s">
        <v>640</v>
      </c>
      <c r="K682" s="33" t="s">
        <v>45</v>
      </c>
      <c r="L682" s="33">
        <v>7.100003881E9</v>
      </c>
      <c r="M682" s="36" t="str">
        <f t="shared" si="96"/>
        <v>SUDAH PO</v>
      </c>
      <c r="N682" s="33" t="s">
        <v>45</v>
      </c>
      <c r="O682" s="38" t="str">
        <f t="shared" si="97"/>
        <v>CLOSE</v>
      </c>
      <c r="P682" s="33" t="s">
        <v>136</v>
      </c>
      <c r="Q682" s="33">
        <v>85.0</v>
      </c>
      <c r="R682" s="37">
        <f t="shared" ref="R682:R685" si="99">Q682-H682</f>
        <v>0</v>
      </c>
    </row>
    <row r="683">
      <c r="A683" s="18"/>
      <c r="B683" s="18"/>
      <c r="C683" s="18"/>
      <c r="D683" s="18"/>
      <c r="E683" s="18"/>
      <c r="F683" s="18"/>
      <c r="G683" s="18"/>
      <c r="H683" s="33">
        <v>60.0</v>
      </c>
      <c r="I683" s="69">
        <v>1.710004526E9</v>
      </c>
      <c r="J683" s="56">
        <v>46148.0</v>
      </c>
      <c r="K683" s="56">
        <v>46301.0</v>
      </c>
      <c r="L683" s="33"/>
      <c r="M683" s="36" t="str">
        <f t="shared" si="96"/>
        <v>BELUM PO</v>
      </c>
      <c r="N683" s="56"/>
      <c r="O683" s="38" t="str">
        <f t="shared" si="97"/>
        <v>BELUM DATANG</v>
      </c>
      <c r="P683" s="37"/>
      <c r="Q683" s="37"/>
      <c r="R683" s="37">
        <f t="shared" si="99"/>
        <v>-60</v>
      </c>
    </row>
    <row r="684">
      <c r="A684" s="29" t="s">
        <v>647</v>
      </c>
      <c r="B684" s="30" t="s">
        <v>581</v>
      </c>
      <c r="C684" s="179" t="s">
        <v>648</v>
      </c>
      <c r="D684" s="105" t="s">
        <v>649</v>
      </c>
      <c r="E684" s="32">
        <v>142.0</v>
      </c>
      <c r="F684" s="32" t="s">
        <v>44</v>
      </c>
      <c r="G684" s="32" t="s">
        <v>86</v>
      </c>
      <c r="H684" s="33">
        <v>80.0</v>
      </c>
      <c r="I684" s="69">
        <v>1.710004526E9</v>
      </c>
      <c r="J684" s="33">
        <v>7.100003881E9</v>
      </c>
      <c r="K684" s="33" t="s">
        <v>45</v>
      </c>
      <c r="L684" s="33">
        <v>7.100003881E9</v>
      </c>
      <c r="M684" s="36" t="str">
        <f t="shared" si="96"/>
        <v>SUDAH PO</v>
      </c>
      <c r="N684" s="33" t="s">
        <v>45</v>
      </c>
      <c r="O684" s="38" t="str">
        <f t="shared" si="97"/>
        <v>CLOSE</v>
      </c>
      <c r="P684" s="33" t="s">
        <v>136</v>
      </c>
      <c r="Q684" s="33">
        <v>80.0</v>
      </c>
      <c r="R684" s="37">
        <f t="shared" si="99"/>
        <v>0</v>
      </c>
    </row>
    <row r="685">
      <c r="A685" s="29" t="s">
        <v>650</v>
      </c>
      <c r="B685" s="30" t="s">
        <v>581</v>
      </c>
      <c r="C685" s="105" t="s">
        <v>651</v>
      </c>
      <c r="D685" s="105" t="s">
        <v>652</v>
      </c>
      <c r="E685" s="32">
        <v>166.0</v>
      </c>
      <c r="F685" s="32" t="s">
        <v>44</v>
      </c>
      <c r="G685" s="32" t="s">
        <v>86</v>
      </c>
      <c r="H685" s="32">
        <v>166.0</v>
      </c>
      <c r="I685" s="69">
        <v>1.710004658E9</v>
      </c>
      <c r="J685" s="56">
        <v>46148.0</v>
      </c>
      <c r="K685" s="56">
        <v>46301.0</v>
      </c>
      <c r="L685" s="33"/>
      <c r="M685" s="36" t="str">
        <f t="shared" si="96"/>
        <v>BELUM PO</v>
      </c>
      <c r="N685" s="56"/>
      <c r="O685" s="38" t="str">
        <f t="shared" si="97"/>
        <v>BELUM DATANG</v>
      </c>
      <c r="P685" s="37"/>
      <c r="Q685" s="37"/>
      <c r="R685" s="37">
        <f t="shared" si="99"/>
        <v>-166</v>
      </c>
    </row>
    <row r="686">
      <c r="A686" s="29" t="s">
        <v>653</v>
      </c>
      <c r="B686" s="30" t="s">
        <v>581</v>
      </c>
      <c r="C686" s="105" t="s">
        <v>654</v>
      </c>
      <c r="D686" s="105" t="s">
        <v>655</v>
      </c>
      <c r="E686" s="32">
        <v>62.0</v>
      </c>
      <c r="F686" s="32" t="s">
        <v>44</v>
      </c>
      <c r="G686" s="32" t="s">
        <v>86</v>
      </c>
      <c r="H686" s="33">
        <v>211.0</v>
      </c>
      <c r="I686" s="69">
        <v>1.710004526E9</v>
      </c>
      <c r="J686" s="33" t="s">
        <v>640</v>
      </c>
      <c r="K686" s="33" t="s">
        <v>45</v>
      </c>
      <c r="L686" s="33">
        <v>7.100003881E9</v>
      </c>
      <c r="M686" s="36" t="str">
        <f t="shared" si="96"/>
        <v>SUDAH PO</v>
      </c>
      <c r="N686" s="33" t="s">
        <v>45</v>
      </c>
      <c r="O686" s="38" t="str">
        <f t="shared" si="97"/>
        <v>DATANG SEBAGIAN</v>
      </c>
      <c r="P686" s="33" t="s">
        <v>136</v>
      </c>
      <c r="Q686" s="33">
        <v>211.0</v>
      </c>
      <c r="R686" s="37">
        <f>Q686-E686</f>
        <v>149</v>
      </c>
    </row>
    <row r="687">
      <c r="A687" s="180" t="s">
        <v>653</v>
      </c>
      <c r="B687" s="30" t="s">
        <v>581</v>
      </c>
      <c r="C687" s="181" t="s">
        <v>656</v>
      </c>
      <c r="D687" s="181" t="s">
        <v>655</v>
      </c>
      <c r="E687" s="122">
        <v>104.0</v>
      </c>
      <c r="F687" s="32" t="s">
        <v>44</v>
      </c>
      <c r="G687" s="32" t="s">
        <v>86</v>
      </c>
      <c r="H687" s="182"/>
      <c r="I687" s="183"/>
      <c r="J687" s="184"/>
      <c r="K687" s="184"/>
      <c r="L687" s="182"/>
      <c r="M687" s="51"/>
      <c r="N687" s="184"/>
      <c r="O687" s="50"/>
      <c r="P687" s="49"/>
      <c r="Q687" s="49"/>
      <c r="R687" s="49">
        <f t="shared" ref="R687:R690" si="100">Q687-H687</f>
        <v>0</v>
      </c>
    </row>
    <row r="688">
      <c r="A688" s="180" t="s">
        <v>657</v>
      </c>
      <c r="B688" s="30" t="s">
        <v>581</v>
      </c>
      <c r="C688" s="181" t="s">
        <v>658</v>
      </c>
      <c r="D688" s="181" t="s">
        <v>659</v>
      </c>
      <c r="E688" s="122">
        <v>27.0</v>
      </c>
      <c r="F688" s="32" t="s">
        <v>44</v>
      </c>
      <c r="G688" s="32" t="s">
        <v>86</v>
      </c>
      <c r="H688" s="182"/>
      <c r="I688" s="183"/>
      <c r="J688" s="184"/>
      <c r="K688" s="184"/>
      <c r="L688" s="182"/>
      <c r="M688" s="51"/>
      <c r="N688" s="184"/>
      <c r="O688" s="50"/>
      <c r="P688" s="49"/>
      <c r="Q688" s="49"/>
      <c r="R688" s="49">
        <f t="shared" si="100"/>
        <v>0</v>
      </c>
    </row>
    <row r="689">
      <c r="A689" s="29" t="s">
        <v>657</v>
      </c>
      <c r="B689" s="30" t="s">
        <v>581</v>
      </c>
      <c r="C689" s="105" t="s">
        <v>660</v>
      </c>
      <c r="D689" s="105" t="s">
        <v>659</v>
      </c>
      <c r="E689" s="32">
        <v>59.0</v>
      </c>
      <c r="F689" s="32" t="s">
        <v>44</v>
      </c>
      <c r="G689" s="32" t="s">
        <v>86</v>
      </c>
      <c r="H689" s="32">
        <v>59.0</v>
      </c>
      <c r="I689" s="69">
        <v>1.710004543E9</v>
      </c>
      <c r="J689" s="33" t="s">
        <v>45</v>
      </c>
      <c r="K689" s="56">
        <v>46331.0</v>
      </c>
      <c r="L689" s="33">
        <v>7.100003889E9</v>
      </c>
      <c r="M689" s="36" t="str">
        <f t="shared" ref="M689:M693" si="101">IF(LEN(L689)=10,"SUDAH PO",IF(L689="STOK","READY STOK",IF(L689="PL","READY STOK","BELUM PO")))</f>
        <v>SUDAH PO</v>
      </c>
      <c r="N689" s="33" t="s">
        <v>661</v>
      </c>
      <c r="O689" s="38" t="str">
        <f t="shared" ref="O689:O693" si="102">IF(H689="STOK","STOK",IF(ISBLANK(P689),"BELUM DATANG",IF(R689=0,"CLOSE","DATANG SEBAGIAN")))</f>
        <v>CLOSE</v>
      </c>
      <c r="P689" s="33" t="s">
        <v>662</v>
      </c>
      <c r="Q689" s="33">
        <v>59.0</v>
      </c>
      <c r="R689" s="37">
        <f t="shared" si="100"/>
        <v>0</v>
      </c>
    </row>
    <row r="690">
      <c r="A690" s="174" t="s">
        <v>663</v>
      </c>
      <c r="B690" s="175" t="s">
        <v>581</v>
      </c>
      <c r="C690" s="176" t="s">
        <v>664</v>
      </c>
      <c r="D690" s="176" t="s">
        <v>665</v>
      </c>
      <c r="E690" s="178">
        <v>64.0</v>
      </c>
      <c r="F690" s="178" t="s">
        <v>44</v>
      </c>
      <c r="G690" s="178" t="s">
        <v>86</v>
      </c>
      <c r="H690" s="33">
        <v>30.0</v>
      </c>
      <c r="I690" s="69">
        <v>1.710004658E9</v>
      </c>
      <c r="J690" s="56">
        <v>46148.0</v>
      </c>
      <c r="K690" s="56"/>
      <c r="L690" s="33"/>
      <c r="M690" s="36" t="str">
        <f t="shared" si="101"/>
        <v>BELUM PO</v>
      </c>
      <c r="N690" s="56"/>
      <c r="O690" s="38" t="str">
        <f t="shared" si="102"/>
        <v>BELUM DATANG</v>
      </c>
      <c r="P690" s="37"/>
      <c r="Q690" s="37"/>
      <c r="R690" s="37">
        <f t="shared" si="100"/>
        <v>-30</v>
      </c>
    </row>
    <row r="691">
      <c r="A691" s="18"/>
      <c r="B691" s="18"/>
      <c r="C691" s="18"/>
      <c r="D691" s="18"/>
      <c r="E691" s="18"/>
      <c r="F691" s="18"/>
      <c r="G691" s="18"/>
      <c r="H691" s="33">
        <v>37.0</v>
      </c>
      <c r="I691" s="69">
        <v>1.710004526E9</v>
      </c>
      <c r="J691" s="56"/>
      <c r="K691" s="56"/>
      <c r="L691" s="33"/>
      <c r="M691" s="36" t="str">
        <f t="shared" si="101"/>
        <v>BELUM PO</v>
      </c>
      <c r="N691" s="56"/>
      <c r="O691" s="38" t="str">
        <f t="shared" si="102"/>
        <v>BELUM DATANG</v>
      </c>
      <c r="P691" s="37"/>
      <c r="Q691" s="37"/>
      <c r="R691" s="37"/>
    </row>
    <row r="692">
      <c r="A692" s="29" t="s">
        <v>657</v>
      </c>
      <c r="B692" s="30" t="s">
        <v>581</v>
      </c>
      <c r="C692" s="105" t="s">
        <v>666</v>
      </c>
      <c r="D692" s="105" t="s">
        <v>659</v>
      </c>
      <c r="E692" s="32">
        <v>35.0</v>
      </c>
      <c r="F692" s="32" t="s">
        <v>44</v>
      </c>
      <c r="G692" s="32" t="s">
        <v>86</v>
      </c>
      <c r="H692" s="32">
        <v>35.0</v>
      </c>
      <c r="I692" s="69">
        <v>1.710004543E9</v>
      </c>
      <c r="J692" s="33" t="s">
        <v>45</v>
      </c>
      <c r="K692" s="56">
        <v>46331.0</v>
      </c>
      <c r="L692" s="33">
        <v>7.100003889E9</v>
      </c>
      <c r="M692" s="36" t="str">
        <f t="shared" si="101"/>
        <v>SUDAH PO</v>
      </c>
      <c r="N692" s="33" t="s">
        <v>661</v>
      </c>
      <c r="O692" s="38" t="str">
        <f t="shared" si="102"/>
        <v>CLOSE</v>
      </c>
      <c r="P692" s="33" t="s">
        <v>662</v>
      </c>
      <c r="Q692" s="33">
        <v>35.0</v>
      </c>
      <c r="R692" s="37">
        <f t="shared" ref="R692:R747" si="103">Q692-H692</f>
        <v>0</v>
      </c>
    </row>
    <row r="693">
      <c r="A693" s="29" t="s">
        <v>667</v>
      </c>
      <c r="B693" s="30" t="s">
        <v>581</v>
      </c>
      <c r="C693" s="181" t="s">
        <v>668</v>
      </c>
      <c r="D693" s="105" t="s">
        <v>669</v>
      </c>
      <c r="E693" s="32">
        <v>104.0</v>
      </c>
      <c r="F693" s="32" t="s">
        <v>44</v>
      </c>
      <c r="G693" s="32" t="s">
        <v>86</v>
      </c>
      <c r="H693" s="32">
        <v>104.0</v>
      </c>
      <c r="I693" s="69">
        <v>1.710004658E9</v>
      </c>
      <c r="J693" s="56">
        <v>46148.0</v>
      </c>
      <c r="K693" s="56">
        <v>46301.0</v>
      </c>
      <c r="L693" s="33"/>
      <c r="M693" s="36" t="str">
        <f t="shared" si="101"/>
        <v>BELUM PO</v>
      </c>
      <c r="N693" s="56"/>
      <c r="O693" s="38" t="str">
        <f t="shared" si="102"/>
        <v>BELUM DATANG</v>
      </c>
      <c r="P693" s="37"/>
      <c r="Q693" s="37"/>
      <c r="R693" s="37">
        <f t="shared" si="103"/>
        <v>-104</v>
      </c>
    </row>
    <row r="694">
      <c r="A694" s="180" t="s">
        <v>670</v>
      </c>
      <c r="B694" s="30" t="s">
        <v>581</v>
      </c>
      <c r="C694" s="181" t="s">
        <v>671</v>
      </c>
      <c r="D694" s="181" t="s">
        <v>672</v>
      </c>
      <c r="E694" s="122">
        <v>106.0</v>
      </c>
      <c r="F694" s="122" t="s">
        <v>44</v>
      </c>
      <c r="G694" s="32" t="s">
        <v>86</v>
      </c>
      <c r="H694" s="182"/>
      <c r="I694" s="183"/>
      <c r="J694" s="184"/>
      <c r="K694" s="184"/>
      <c r="L694" s="182"/>
      <c r="M694" s="51"/>
      <c r="N694" s="184"/>
      <c r="O694" s="50"/>
      <c r="P694" s="49"/>
      <c r="Q694" s="49"/>
      <c r="R694" s="49">
        <f t="shared" si="103"/>
        <v>0</v>
      </c>
    </row>
    <row r="695">
      <c r="A695" s="29" t="s">
        <v>650</v>
      </c>
      <c r="B695" s="30" t="s">
        <v>581</v>
      </c>
      <c r="C695" s="181" t="s">
        <v>673</v>
      </c>
      <c r="D695" s="105" t="s">
        <v>652</v>
      </c>
      <c r="E695" s="32">
        <v>100.0</v>
      </c>
      <c r="F695" s="32" t="s">
        <v>44</v>
      </c>
      <c r="G695" s="32" t="s">
        <v>86</v>
      </c>
      <c r="H695" s="32">
        <v>100.0</v>
      </c>
      <c r="I695" s="69">
        <v>1.710004658E9</v>
      </c>
      <c r="J695" s="56">
        <v>46148.0</v>
      </c>
      <c r="K695" s="56">
        <v>46301.0</v>
      </c>
      <c r="L695" s="33"/>
      <c r="M695" s="36" t="str">
        <f t="shared" ref="M695:M703" si="104">IF(LEN(L695)=10,"SUDAH PO",IF(L695="STOK","READY STOK",IF(L695="PL","READY STOK","BELUM PO")))</f>
        <v>BELUM PO</v>
      </c>
      <c r="N695" s="56"/>
      <c r="O695" s="38" t="str">
        <f t="shared" ref="O695:O703" si="105">IF(H695="STOK","STOK",IF(ISBLANK(P695),"BELUM DATANG",IF(R695=0,"CLOSE","DATANG SEBAGIAN")))</f>
        <v>BELUM DATANG</v>
      </c>
      <c r="P695" s="37"/>
      <c r="Q695" s="37"/>
      <c r="R695" s="37">
        <f t="shared" si="103"/>
        <v>-100</v>
      </c>
    </row>
    <row r="696">
      <c r="A696" s="29" t="s">
        <v>647</v>
      </c>
      <c r="B696" s="30" t="s">
        <v>581</v>
      </c>
      <c r="C696" s="105" t="s">
        <v>674</v>
      </c>
      <c r="D696" s="105" t="s">
        <v>649</v>
      </c>
      <c r="E696" s="32">
        <v>115.0</v>
      </c>
      <c r="F696" s="32" t="s">
        <v>44</v>
      </c>
      <c r="G696" s="32" t="s">
        <v>86</v>
      </c>
      <c r="H696" s="33">
        <v>180.0</v>
      </c>
      <c r="I696" s="69">
        <v>1.710004526E9</v>
      </c>
      <c r="J696" s="33">
        <v>7.100003881E9</v>
      </c>
      <c r="K696" s="33" t="s">
        <v>45</v>
      </c>
      <c r="L696" s="33">
        <v>7.100003881E9</v>
      </c>
      <c r="M696" s="36" t="str">
        <f t="shared" si="104"/>
        <v>SUDAH PO</v>
      </c>
      <c r="N696" s="33" t="s">
        <v>45</v>
      </c>
      <c r="O696" s="38" t="str">
        <f t="shared" si="105"/>
        <v>CLOSE</v>
      </c>
      <c r="P696" s="33" t="s">
        <v>136</v>
      </c>
      <c r="Q696" s="33">
        <v>180.0</v>
      </c>
      <c r="R696" s="37">
        <f t="shared" si="103"/>
        <v>0</v>
      </c>
    </row>
    <row r="697">
      <c r="A697" s="29" t="s">
        <v>670</v>
      </c>
      <c r="B697" s="30" t="s">
        <v>581</v>
      </c>
      <c r="C697" s="181" t="s">
        <v>675</v>
      </c>
      <c r="D697" s="105" t="s">
        <v>672</v>
      </c>
      <c r="E697" s="32">
        <v>15.0</v>
      </c>
      <c r="F697" s="32" t="s">
        <v>44</v>
      </c>
      <c r="G697" s="32" t="s">
        <v>86</v>
      </c>
      <c r="H697" s="33"/>
      <c r="I697" s="69"/>
      <c r="J697" s="56"/>
      <c r="K697" s="56"/>
      <c r="L697" s="33"/>
      <c r="M697" s="36" t="str">
        <f t="shared" si="104"/>
        <v>BELUM PO</v>
      </c>
      <c r="N697" s="56"/>
      <c r="O697" s="38" t="str">
        <f t="shared" si="105"/>
        <v>BELUM DATANG</v>
      </c>
      <c r="P697" s="37"/>
      <c r="Q697" s="37"/>
      <c r="R697" s="37">
        <f t="shared" si="103"/>
        <v>0</v>
      </c>
    </row>
    <row r="698">
      <c r="A698" s="29" t="s">
        <v>670</v>
      </c>
      <c r="B698" s="30" t="s">
        <v>581</v>
      </c>
      <c r="C698" s="105" t="s">
        <v>676</v>
      </c>
      <c r="D698" s="105" t="s">
        <v>672</v>
      </c>
      <c r="E698" s="32">
        <v>95.0</v>
      </c>
      <c r="F698" s="32" t="s">
        <v>44</v>
      </c>
      <c r="G698" s="32" t="s">
        <v>86</v>
      </c>
      <c r="H698" s="33"/>
      <c r="I698" s="69"/>
      <c r="J698" s="56"/>
      <c r="K698" s="56"/>
      <c r="L698" s="33"/>
      <c r="M698" s="36" t="str">
        <f t="shared" si="104"/>
        <v>BELUM PO</v>
      </c>
      <c r="N698" s="56"/>
      <c r="O698" s="38" t="str">
        <f t="shared" si="105"/>
        <v>BELUM DATANG</v>
      </c>
      <c r="P698" s="37"/>
      <c r="Q698" s="37"/>
      <c r="R698" s="37">
        <f t="shared" si="103"/>
        <v>0</v>
      </c>
    </row>
    <row r="699">
      <c r="A699" s="29" t="s">
        <v>650</v>
      </c>
      <c r="B699" s="30" t="s">
        <v>581</v>
      </c>
      <c r="C699" s="105" t="s">
        <v>677</v>
      </c>
      <c r="D699" s="105" t="s">
        <v>652</v>
      </c>
      <c r="E699" s="32">
        <v>107.0</v>
      </c>
      <c r="F699" s="32" t="s">
        <v>44</v>
      </c>
      <c r="G699" s="32" t="s">
        <v>86</v>
      </c>
      <c r="H699" s="32">
        <v>107.0</v>
      </c>
      <c r="I699" s="69">
        <v>1.710004658E9</v>
      </c>
      <c r="J699" s="56">
        <v>46148.0</v>
      </c>
      <c r="K699" s="56">
        <v>46301.0</v>
      </c>
      <c r="L699" s="33"/>
      <c r="M699" s="36" t="str">
        <f t="shared" si="104"/>
        <v>BELUM PO</v>
      </c>
      <c r="N699" s="56"/>
      <c r="O699" s="38" t="str">
        <f t="shared" si="105"/>
        <v>BELUM DATANG</v>
      </c>
      <c r="P699" s="37"/>
      <c r="Q699" s="37"/>
      <c r="R699" s="37">
        <f t="shared" si="103"/>
        <v>-107</v>
      </c>
    </row>
    <row r="700">
      <c r="A700" s="29" t="s">
        <v>678</v>
      </c>
      <c r="B700" s="30" t="s">
        <v>581</v>
      </c>
      <c r="C700" s="105" t="s">
        <v>679</v>
      </c>
      <c r="D700" s="105" t="s">
        <v>680</v>
      </c>
      <c r="E700" s="32">
        <v>126.0</v>
      </c>
      <c r="F700" s="32" t="s">
        <v>44</v>
      </c>
      <c r="G700" s="32" t="s">
        <v>86</v>
      </c>
      <c r="H700" s="32">
        <v>126.0</v>
      </c>
      <c r="I700" s="69">
        <v>1.710004658E9</v>
      </c>
      <c r="J700" s="56">
        <v>46148.0</v>
      </c>
      <c r="K700" s="56">
        <v>46301.0</v>
      </c>
      <c r="L700" s="33"/>
      <c r="M700" s="36" t="str">
        <f t="shared" si="104"/>
        <v>BELUM PO</v>
      </c>
      <c r="N700" s="56"/>
      <c r="O700" s="38" t="str">
        <f t="shared" si="105"/>
        <v>BELUM DATANG</v>
      </c>
      <c r="P700" s="37"/>
      <c r="Q700" s="37"/>
      <c r="R700" s="37">
        <f t="shared" si="103"/>
        <v>-126</v>
      </c>
    </row>
    <row r="701">
      <c r="A701" s="29" t="s">
        <v>681</v>
      </c>
      <c r="B701" s="30" t="s">
        <v>581</v>
      </c>
      <c r="C701" s="105" t="s">
        <v>682</v>
      </c>
      <c r="D701" s="105" t="s">
        <v>683</v>
      </c>
      <c r="E701" s="32">
        <v>94.0</v>
      </c>
      <c r="F701" s="32" t="s">
        <v>44</v>
      </c>
      <c r="G701" s="32" t="s">
        <v>86</v>
      </c>
      <c r="H701" s="33"/>
      <c r="I701" s="69"/>
      <c r="J701" s="56"/>
      <c r="K701" s="56"/>
      <c r="L701" s="33"/>
      <c r="M701" s="36" t="str">
        <f t="shared" si="104"/>
        <v>BELUM PO</v>
      </c>
      <c r="N701" s="56"/>
      <c r="O701" s="38" t="str">
        <f t="shared" si="105"/>
        <v>BELUM DATANG</v>
      </c>
      <c r="P701" s="37"/>
      <c r="Q701" s="37"/>
      <c r="R701" s="37">
        <f t="shared" si="103"/>
        <v>0</v>
      </c>
    </row>
    <row r="702">
      <c r="A702" s="29" t="s">
        <v>684</v>
      </c>
      <c r="B702" s="30" t="s">
        <v>581</v>
      </c>
      <c r="C702" s="105" t="s">
        <v>685</v>
      </c>
      <c r="D702" s="105" t="s">
        <v>686</v>
      </c>
      <c r="E702" s="32">
        <v>60.0</v>
      </c>
      <c r="F702" s="32" t="s">
        <v>44</v>
      </c>
      <c r="G702" s="32" t="s">
        <v>86</v>
      </c>
      <c r="H702" s="33"/>
      <c r="I702" s="69"/>
      <c r="J702" s="56"/>
      <c r="K702" s="56"/>
      <c r="L702" s="33"/>
      <c r="M702" s="36" t="str">
        <f t="shared" si="104"/>
        <v>BELUM PO</v>
      </c>
      <c r="N702" s="56"/>
      <c r="O702" s="38" t="str">
        <f t="shared" si="105"/>
        <v>BELUM DATANG</v>
      </c>
      <c r="P702" s="37"/>
      <c r="Q702" s="37"/>
      <c r="R702" s="37">
        <f t="shared" si="103"/>
        <v>0</v>
      </c>
    </row>
    <row r="703">
      <c r="A703" s="29" t="s">
        <v>687</v>
      </c>
      <c r="B703" s="30" t="s">
        <v>581</v>
      </c>
      <c r="C703" s="105" t="s">
        <v>688</v>
      </c>
      <c r="D703" s="105" t="s">
        <v>689</v>
      </c>
      <c r="E703" s="32">
        <v>10.0</v>
      </c>
      <c r="F703" s="32" t="s">
        <v>44</v>
      </c>
      <c r="G703" s="32">
        <v>0.0</v>
      </c>
      <c r="H703" s="33"/>
      <c r="I703" s="69"/>
      <c r="J703" s="56"/>
      <c r="K703" s="56"/>
      <c r="L703" s="33"/>
      <c r="M703" s="36" t="str">
        <f t="shared" si="104"/>
        <v>BELUM PO</v>
      </c>
      <c r="N703" s="56"/>
      <c r="O703" s="38" t="str">
        <f t="shared" si="105"/>
        <v>BELUM DATANG</v>
      </c>
      <c r="P703" s="37"/>
      <c r="Q703" s="37"/>
      <c r="R703" s="37">
        <f t="shared" si="103"/>
        <v>0</v>
      </c>
    </row>
    <row r="704">
      <c r="A704" s="180" t="s">
        <v>690</v>
      </c>
      <c r="B704" s="30" t="s">
        <v>581</v>
      </c>
      <c r="C704" s="181" t="s">
        <v>691</v>
      </c>
      <c r="D704" s="181" t="s">
        <v>692</v>
      </c>
      <c r="E704" s="136">
        <v>25.0</v>
      </c>
      <c r="F704" s="122" t="s">
        <v>44</v>
      </c>
      <c r="G704" s="32" t="s">
        <v>86</v>
      </c>
      <c r="H704" s="101"/>
      <c r="I704" s="49"/>
      <c r="J704" s="50"/>
      <c r="K704" s="50"/>
      <c r="L704" s="51"/>
      <c r="M704" s="51"/>
      <c r="N704" s="49"/>
      <c r="O704" s="50"/>
      <c r="P704" s="49"/>
      <c r="Q704" s="49"/>
      <c r="R704" s="101">
        <f t="shared" si="103"/>
        <v>0</v>
      </c>
    </row>
    <row r="705">
      <c r="A705" s="180" t="s">
        <v>684</v>
      </c>
      <c r="B705" s="30" t="s">
        <v>581</v>
      </c>
      <c r="C705" s="181" t="s">
        <v>693</v>
      </c>
      <c r="D705" s="181" t="s">
        <v>686</v>
      </c>
      <c r="E705" s="136">
        <v>25.0</v>
      </c>
      <c r="F705" s="122" t="s">
        <v>44</v>
      </c>
      <c r="G705" s="32" t="s">
        <v>86</v>
      </c>
      <c r="H705" s="101"/>
      <c r="I705" s="49"/>
      <c r="J705" s="50"/>
      <c r="K705" s="50"/>
      <c r="L705" s="51"/>
      <c r="M705" s="51"/>
      <c r="N705" s="49"/>
      <c r="O705" s="50"/>
      <c r="P705" s="49"/>
      <c r="Q705" s="49"/>
      <c r="R705" s="101">
        <f t="shared" si="103"/>
        <v>0</v>
      </c>
    </row>
    <row r="706">
      <c r="A706" s="29" t="s">
        <v>690</v>
      </c>
      <c r="B706" s="30" t="s">
        <v>581</v>
      </c>
      <c r="C706" s="105" t="s">
        <v>694</v>
      </c>
      <c r="D706" s="105" t="s">
        <v>692</v>
      </c>
      <c r="E706" s="122">
        <v>21.0</v>
      </c>
      <c r="F706" s="32" t="s">
        <v>44</v>
      </c>
      <c r="G706" s="32" t="s">
        <v>86</v>
      </c>
      <c r="H706" s="70"/>
      <c r="I706" s="37"/>
      <c r="J706" s="38"/>
      <c r="K706" s="38"/>
      <c r="L706" s="36"/>
      <c r="M706" s="36" t="str">
        <f t="shared" ref="M706:M712" si="106">IF(LEN(L706)=10,"SUDAH PO",IF(L706="STOK","READY STOK",IF(L706="PL","READY STOK","BELUM PO")))</f>
        <v>BELUM PO</v>
      </c>
      <c r="N706" s="37"/>
      <c r="O706" s="38" t="str">
        <f t="shared" ref="O706:O712" si="107">IF(H706="STOK","STOK",IF(ISBLANK(P706),"BELUM DATANG",IF(R706=0,"CLOSE","DATANG SEBAGIAN")))</f>
        <v>BELUM DATANG</v>
      </c>
      <c r="P706" s="37"/>
      <c r="Q706" s="37"/>
      <c r="R706" s="70">
        <f t="shared" si="103"/>
        <v>0</v>
      </c>
    </row>
    <row r="707">
      <c r="A707" s="29" t="s">
        <v>695</v>
      </c>
      <c r="B707" s="30" t="s">
        <v>581</v>
      </c>
      <c r="C707" s="105" t="s">
        <v>696</v>
      </c>
      <c r="D707" s="105" t="s">
        <v>697</v>
      </c>
      <c r="E707" s="185">
        <v>52.0</v>
      </c>
      <c r="F707" s="32" t="s">
        <v>44</v>
      </c>
      <c r="G707" s="32" t="s">
        <v>86</v>
      </c>
      <c r="H707" s="70"/>
      <c r="I707" s="37"/>
      <c r="J707" s="38"/>
      <c r="K707" s="38"/>
      <c r="L707" s="36"/>
      <c r="M707" s="36" t="str">
        <f t="shared" si="106"/>
        <v>BELUM PO</v>
      </c>
      <c r="N707" s="37"/>
      <c r="O707" s="38" t="str">
        <f t="shared" si="107"/>
        <v>BELUM DATANG</v>
      </c>
      <c r="P707" s="37"/>
      <c r="Q707" s="37"/>
      <c r="R707" s="70">
        <f t="shared" si="103"/>
        <v>0</v>
      </c>
    </row>
    <row r="708">
      <c r="A708" s="29" t="s">
        <v>698</v>
      </c>
      <c r="B708" s="30" t="s">
        <v>581</v>
      </c>
      <c r="C708" s="105" t="s">
        <v>696</v>
      </c>
      <c r="D708" s="105" t="s">
        <v>699</v>
      </c>
      <c r="E708" s="59">
        <v>52.0</v>
      </c>
      <c r="F708" s="32" t="s">
        <v>44</v>
      </c>
      <c r="G708" s="32" t="s">
        <v>86</v>
      </c>
      <c r="H708" s="70"/>
      <c r="I708" s="37"/>
      <c r="J708" s="38"/>
      <c r="K708" s="38"/>
      <c r="L708" s="36"/>
      <c r="M708" s="36" t="str">
        <f t="shared" si="106"/>
        <v>BELUM PO</v>
      </c>
      <c r="N708" s="56"/>
      <c r="O708" s="38" t="str">
        <f t="shared" si="107"/>
        <v>BELUM DATANG</v>
      </c>
      <c r="P708" s="37"/>
      <c r="Q708" s="37"/>
      <c r="R708" s="70">
        <f t="shared" si="103"/>
        <v>0</v>
      </c>
    </row>
    <row r="709">
      <c r="A709" s="29" t="s">
        <v>700</v>
      </c>
      <c r="B709" s="30" t="s">
        <v>581</v>
      </c>
      <c r="C709" s="186" t="s">
        <v>701</v>
      </c>
      <c r="D709" s="105" t="s">
        <v>702</v>
      </c>
      <c r="E709" s="59">
        <v>40.0</v>
      </c>
      <c r="F709" s="32" t="s">
        <v>44</v>
      </c>
      <c r="G709" s="32" t="s">
        <v>86</v>
      </c>
      <c r="H709" s="70"/>
      <c r="I709" s="37"/>
      <c r="J709" s="38"/>
      <c r="K709" s="38"/>
      <c r="L709" s="36"/>
      <c r="M709" s="36" t="str">
        <f t="shared" si="106"/>
        <v>BELUM PO</v>
      </c>
      <c r="N709" s="56"/>
      <c r="O709" s="38" t="str">
        <f t="shared" si="107"/>
        <v>BELUM DATANG</v>
      </c>
      <c r="P709" s="37"/>
      <c r="Q709" s="37"/>
      <c r="R709" s="70">
        <f t="shared" si="103"/>
        <v>0</v>
      </c>
    </row>
    <row r="710">
      <c r="A710" s="29" t="s">
        <v>703</v>
      </c>
      <c r="B710" s="30" t="s">
        <v>581</v>
      </c>
      <c r="C710" s="18"/>
      <c r="D710" s="105" t="s">
        <v>704</v>
      </c>
      <c r="E710" s="59">
        <v>10.0</v>
      </c>
      <c r="F710" s="32" t="s">
        <v>44</v>
      </c>
      <c r="G710" s="32" t="s">
        <v>86</v>
      </c>
      <c r="H710" s="70"/>
      <c r="I710" s="37"/>
      <c r="J710" s="38"/>
      <c r="K710" s="38"/>
      <c r="L710" s="36"/>
      <c r="M710" s="36" t="str">
        <f t="shared" si="106"/>
        <v>BELUM PO</v>
      </c>
      <c r="N710" s="56"/>
      <c r="O710" s="38" t="str">
        <f t="shared" si="107"/>
        <v>BELUM DATANG</v>
      </c>
      <c r="P710" s="37"/>
      <c r="Q710" s="37"/>
      <c r="R710" s="70">
        <f t="shared" si="103"/>
        <v>0</v>
      </c>
    </row>
    <row r="711">
      <c r="A711" s="29" t="s">
        <v>705</v>
      </c>
      <c r="B711" s="30" t="s">
        <v>581</v>
      </c>
      <c r="C711" s="186" t="s">
        <v>706</v>
      </c>
      <c r="D711" s="105" t="s">
        <v>707</v>
      </c>
      <c r="E711" s="59">
        <v>52.0</v>
      </c>
      <c r="F711" s="32" t="s">
        <v>44</v>
      </c>
      <c r="G711" s="32" t="s">
        <v>86</v>
      </c>
      <c r="H711" s="69">
        <v>120.0</v>
      </c>
      <c r="I711" s="33">
        <v>1.710004534E9</v>
      </c>
      <c r="J711" s="38"/>
      <c r="K711" s="38"/>
      <c r="L711" s="33">
        <v>7.100003884E9</v>
      </c>
      <c r="M711" s="36" t="str">
        <f t="shared" si="106"/>
        <v>SUDAH PO</v>
      </c>
      <c r="N711" s="56"/>
      <c r="O711" s="38" t="str">
        <f t="shared" si="107"/>
        <v>CLOSE</v>
      </c>
      <c r="P711" s="33" t="s">
        <v>708</v>
      </c>
      <c r="Q711" s="33">
        <v>120.0</v>
      </c>
      <c r="R711" s="70">
        <f t="shared" si="103"/>
        <v>0</v>
      </c>
    </row>
    <row r="712">
      <c r="A712" s="29" t="s">
        <v>709</v>
      </c>
      <c r="B712" s="30" t="s">
        <v>581</v>
      </c>
      <c r="C712" s="18"/>
      <c r="D712" s="105" t="s">
        <v>710</v>
      </c>
      <c r="E712" s="59">
        <v>52.0</v>
      </c>
      <c r="F712" s="32" t="s">
        <v>44</v>
      </c>
      <c r="G712" s="32" t="s">
        <v>86</v>
      </c>
      <c r="H712" s="70"/>
      <c r="I712" s="37"/>
      <c r="J712" s="38"/>
      <c r="K712" s="38"/>
      <c r="L712" s="36"/>
      <c r="M712" s="36" t="str">
        <f t="shared" si="106"/>
        <v>BELUM PO</v>
      </c>
      <c r="N712" s="56"/>
      <c r="O712" s="38" t="str">
        <f t="shared" si="107"/>
        <v>BELUM DATANG</v>
      </c>
      <c r="P712" s="37"/>
      <c r="Q712" s="37"/>
      <c r="R712" s="70">
        <f t="shared" si="103"/>
        <v>0</v>
      </c>
    </row>
    <row r="713">
      <c r="A713" s="180" t="s">
        <v>711</v>
      </c>
      <c r="B713" s="30" t="s">
        <v>581</v>
      </c>
      <c r="C713" s="105" t="s">
        <v>712</v>
      </c>
      <c r="D713" s="181" t="s">
        <v>713</v>
      </c>
      <c r="E713" s="122">
        <v>10.0</v>
      </c>
      <c r="F713" s="32" t="s">
        <v>44</v>
      </c>
      <c r="G713" s="32" t="s">
        <v>86</v>
      </c>
      <c r="H713" s="101"/>
      <c r="I713" s="49"/>
      <c r="J713" s="50"/>
      <c r="K713" s="50"/>
      <c r="L713" s="51"/>
      <c r="M713" s="51"/>
      <c r="N713" s="184"/>
      <c r="O713" s="50"/>
      <c r="P713" s="49"/>
      <c r="Q713" s="49"/>
      <c r="R713" s="101">
        <f t="shared" si="103"/>
        <v>0</v>
      </c>
    </row>
    <row r="714">
      <c r="A714" s="29" t="s">
        <v>709</v>
      </c>
      <c r="B714" s="30" t="s">
        <v>581</v>
      </c>
      <c r="C714" s="171"/>
      <c r="D714" s="105" t="s">
        <v>710</v>
      </c>
      <c r="E714" s="59">
        <v>10.0</v>
      </c>
      <c r="F714" s="32" t="s">
        <v>44</v>
      </c>
      <c r="G714" s="32" t="s">
        <v>86</v>
      </c>
      <c r="H714" s="70"/>
      <c r="I714" s="37"/>
      <c r="J714" s="38"/>
      <c r="K714" s="38"/>
      <c r="L714" s="36"/>
      <c r="M714" s="36" t="str">
        <f t="shared" ref="M714:M736" si="108">IF(LEN(L714)=10,"SUDAH PO",IF(L714="STOK","READY STOK",IF(L714="PL","READY STOK","BELUM PO")))</f>
        <v>BELUM PO</v>
      </c>
      <c r="N714" s="56"/>
      <c r="O714" s="38" t="str">
        <f t="shared" ref="O714:O736" si="109">IF(H714="STOK","STOK",IF(ISBLANK(P714),"BELUM DATANG",IF(R714=0,"CLOSE","DATANG SEBAGIAN")))</f>
        <v>BELUM DATANG</v>
      </c>
      <c r="P714" s="37"/>
      <c r="Q714" s="37"/>
      <c r="R714" s="70">
        <f t="shared" si="103"/>
        <v>0</v>
      </c>
    </row>
    <row r="715">
      <c r="A715" s="29" t="s">
        <v>714</v>
      </c>
      <c r="B715" s="30" t="s">
        <v>581</v>
      </c>
      <c r="C715" s="105" t="s">
        <v>715</v>
      </c>
      <c r="D715" s="105" t="s">
        <v>716</v>
      </c>
      <c r="E715" s="59">
        <v>52.0</v>
      </c>
      <c r="F715" s="32" t="s">
        <v>44</v>
      </c>
      <c r="G715" s="32" t="s">
        <v>86</v>
      </c>
      <c r="H715" s="70"/>
      <c r="I715" s="37"/>
      <c r="J715" s="38"/>
      <c r="K715" s="38"/>
      <c r="L715" s="36"/>
      <c r="M715" s="36" t="str">
        <f t="shared" si="108"/>
        <v>BELUM PO</v>
      </c>
      <c r="N715" s="56"/>
      <c r="O715" s="38" t="str">
        <f t="shared" si="109"/>
        <v>BELUM DATANG</v>
      </c>
      <c r="P715" s="37"/>
      <c r="Q715" s="37"/>
      <c r="R715" s="70">
        <f t="shared" si="103"/>
        <v>0</v>
      </c>
    </row>
    <row r="716">
      <c r="A716" s="29" t="s">
        <v>650</v>
      </c>
      <c r="B716" s="30" t="s">
        <v>581</v>
      </c>
      <c r="C716" s="187" t="s">
        <v>717</v>
      </c>
      <c r="D716" s="187" t="s">
        <v>718</v>
      </c>
      <c r="E716" s="188">
        <v>162.0</v>
      </c>
      <c r="F716" s="32" t="s">
        <v>44</v>
      </c>
      <c r="G716" s="32" t="s">
        <v>86</v>
      </c>
      <c r="H716" s="188">
        <v>162.0</v>
      </c>
      <c r="I716" s="33">
        <v>1.710004526E9</v>
      </c>
      <c r="J716" s="33" t="s">
        <v>640</v>
      </c>
      <c r="K716" s="56">
        <v>46301.0</v>
      </c>
      <c r="L716" s="33">
        <v>7.100003881E9</v>
      </c>
      <c r="M716" s="36" t="str">
        <f t="shared" si="108"/>
        <v>SUDAH PO</v>
      </c>
      <c r="N716" s="33" t="s">
        <v>45</v>
      </c>
      <c r="O716" s="38" t="str">
        <f t="shared" si="109"/>
        <v>DATANG SEBAGIAN</v>
      </c>
      <c r="P716" s="56">
        <v>46148.0</v>
      </c>
      <c r="Q716" s="33">
        <v>179.0</v>
      </c>
      <c r="R716" s="70">
        <f t="shared" si="103"/>
        <v>17</v>
      </c>
    </row>
    <row r="717">
      <c r="A717" s="29" t="s">
        <v>670</v>
      </c>
      <c r="B717" s="30" t="s">
        <v>581</v>
      </c>
      <c r="C717" s="187" t="s">
        <v>719</v>
      </c>
      <c r="D717" s="187" t="s">
        <v>720</v>
      </c>
      <c r="E717" s="188">
        <v>103.0</v>
      </c>
      <c r="F717" s="32" t="s">
        <v>44</v>
      </c>
      <c r="G717" s="32" t="s">
        <v>86</v>
      </c>
      <c r="H717" s="70"/>
      <c r="I717" s="37"/>
      <c r="J717" s="38"/>
      <c r="K717" s="38"/>
      <c r="L717" s="36"/>
      <c r="M717" s="36" t="str">
        <f t="shared" si="108"/>
        <v>BELUM PO</v>
      </c>
      <c r="N717" s="56"/>
      <c r="O717" s="38" t="str">
        <f t="shared" si="109"/>
        <v>BELUM DATANG</v>
      </c>
      <c r="P717" s="37"/>
      <c r="Q717" s="37"/>
      <c r="R717" s="70">
        <f t="shared" si="103"/>
        <v>0</v>
      </c>
    </row>
    <row r="718">
      <c r="A718" s="29" t="s">
        <v>667</v>
      </c>
      <c r="B718" s="30" t="s">
        <v>581</v>
      </c>
      <c r="C718" s="187" t="s">
        <v>721</v>
      </c>
      <c r="D718" s="187" t="s">
        <v>722</v>
      </c>
      <c r="E718" s="188">
        <v>263.0</v>
      </c>
      <c r="F718" s="32" t="s">
        <v>44</v>
      </c>
      <c r="G718" s="32" t="s">
        <v>86</v>
      </c>
      <c r="H718" s="188">
        <v>263.0</v>
      </c>
      <c r="I718" s="33">
        <v>1.710004658E9</v>
      </c>
      <c r="J718" s="56">
        <v>46148.0</v>
      </c>
      <c r="K718" s="56">
        <v>46301.0</v>
      </c>
      <c r="L718" s="36"/>
      <c r="M718" s="36" t="str">
        <f t="shared" si="108"/>
        <v>BELUM PO</v>
      </c>
      <c r="N718" s="56"/>
      <c r="O718" s="38" t="str">
        <f t="shared" si="109"/>
        <v>BELUM DATANG</v>
      </c>
      <c r="P718" s="37"/>
      <c r="Q718" s="37"/>
      <c r="R718" s="70">
        <f t="shared" si="103"/>
        <v>-263</v>
      </c>
    </row>
    <row r="719">
      <c r="A719" s="29" t="s">
        <v>681</v>
      </c>
      <c r="B719" s="30" t="s">
        <v>581</v>
      </c>
      <c r="C719" s="187" t="s">
        <v>723</v>
      </c>
      <c r="D719" s="187" t="s">
        <v>724</v>
      </c>
      <c r="E719" s="188">
        <v>239.0</v>
      </c>
      <c r="F719" s="32" t="s">
        <v>44</v>
      </c>
      <c r="G719" s="32" t="s">
        <v>86</v>
      </c>
      <c r="H719" s="70"/>
      <c r="I719" s="37"/>
      <c r="J719" s="38"/>
      <c r="K719" s="38"/>
      <c r="L719" s="36"/>
      <c r="M719" s="36" t="str">
        <f t="shared" si="108"/>
        <v>BELUM PO</v>
      </c>
      <c r="N719" s="56"/>
      <c r="O719" s="38" t="str">
        <f t="shared" si="109"/>
        <v>BELUM DATANG</v>
      </c>
      <c r="P719" s="37"/>
      <c r="Q719" s="37"/>
      <c r="R719" s="70">
        <f t="shared" si="103"/>
        <v>0</v>
      </c>
    </row>
    <row r="720">
      <c r="A720" s="29" t="s">
        <v>681</v>
      </c>
      <c r="B720" s="30" t="s">
        <v>581</v>
      </c>
      <c r="C720" s="187" t="s">
        <v>725</v>
      </c>
      <c r="D720" s="187" t="s">
        <v>724</v>
      </c>
      <c r="E720" s="188">
        <v>187.0</v>
      </c>
      <c r="F720" s="32" t="s">
        <v>44</v>
      </c>
      <c r="G720" s="32" t="s">
        <v>86</v>
      </c>
      <c r="H720" s="70"/>
      <c r="I720" s="37"/>
      <c r="J720" s="38"/>
      <c r="K720" s="38"/>
      <c r="L720" s="36"/>
      <c r="M720" s="36" t="str">
        <f t="shared" si="108"/>
        <v>BELUM PO</v>
      </c>
      <c r="N720" s="56"/>
      <c r="O720" s="38" t="str">
        <f t="shared" si="109"/>
        <v>BELUM DATANG</v>
      </c>
      <c r="P720" s="37"/>
      <c r="Q720" s="37"/>
      <c r="R720" s="70">
        <f t="shared" si="103"/>
        <v>0</v>
      </c>
    </row>
    <row r="721">
      <c r="A721" s="29" t="s">
        <v>681</v>
      </c>
      <c r="B721" s="30" t="s">
        <v>581</v>
      </c>
      <c r="C721" s="187" t="s">
        <v>726</v>
      </c>
      <c r="D721" s="187" t="s">
        <v>724</v>
      </c>
      <c r="E721" s="188">
        <v>63.0</v>
      </c>
      <c r="F721" s="32" t="s">
        <v>44</v>
      </c>
      <c r="G721" s="32" t="s">
        <v>86</v>
      </c>
      <c r="H721" s="70"/>
      <c r="I721" s="37"/>
      <c r="J721" s="38"/>
      <c r="K721" s="38"/>
      <c r="L721" s="36"/>
      <c r="M721" s="36" t="str">
        <f t="shared" si="108"/>
        <v>BELUM PO</v>
      </c>
      <c r="N721" s="56"/>
      <c r="O721" s="38" t="str">
        <f t="shared" si="109"/>
        <v>BELUM DATANG</v>
      </c>
      <c r="P721" s="37"/>
      <c r="Q721" s="37"/>
      <c r="R721" s="70">
        <f t="shared" si="103"/>
        <v>0</v>
      </c>
    </row>
    <row r="722">
      <c r="A722" s="29" t="s">
        <v>667</v>
      </c>
      <c r="B722" s="30" t="s">
        <v>581</v>
      </c>
      <c r="C722" s="187" t="s">
        <v>727</v>
      </c>
      <c r="D722" s="187" t="s">
        <v>722</v>
      </c>
      <c r="E722" s="188">
        <v>26.0</v>
      </c>
      <c r="F722" s="32" t="s">
        <v>44</v>
      </c>
      <c r="G722" s="32" t="s">
        <v>86</v>
      </c>
      <c r="H722" s="188">
        <v>26.0</v>
      </c>
      <c r="I722" s="33">
        <v>1.710004543E9</v>
      </c>
      <c r="J722" s="33" t="s">
        <v>45</v>
      </c>
      <c r="K722" s="56">
        <v>46331.0</v>
      </c>
      <c r="L722" s="33">
        <v>7.100003897E9</v>
      </c>
      <c r="M722" s="36" t="str">
        <f t="shared" si="108"/>
        <v>SUDAH PO</v>
      </c>
      <c r="N722" s="56">
        <v>46331.0</v>
      </c>
      <c r="O722" s="38" t="str">
        <f t="shared" si="109"/>
        <v>DATANG SEBAGIAN</v>
      </c>
      <c r="P722" s="56">
        <v>46118.0</v>
      </c>
      <c r="Q722" s="33">
        <v>20.0</v>
      </c>
      <c r="R722" s="70">
        <f t="shared" si="103"/>
        <v>-6</v>
      </c>
    </row>
    <row r="723">
      <c r="A723" s="29" t="s">
        <v>681</v>
      </c>
      <c r="B723" s="30" t="s">
        <v>581</v>
      </c>
      <c r="C723" s="187" t="s">
        <v>728</v>
      </c>
      <c r="D723" s="187" t="s">
        <v>724</v>
      </c>
      <c r="E723" s="188">
        <v>70.0</v>
      </c>
      <c r="F723" s="32" t="s">
        <v>44</v>
      </c>
      <c r="G723" s="32" t="s">
        <v>86</v>
      </c>
      <c r="H723" s="70"/>
      <c r="I723" s="37"/>
      <c r="J723" s="38"/>
      <c r="K723" s="38"/>
      <c r="L723" s="36"/>
      <c r="M723" s="36" t="str">
        <f t="shared" si="108"/>
        <v>BELUM PO</v>
      </c>
      <c r="N723" s="56"/>
      <c r="O723" s="38" t="str">
        <f t="shared" si="109"/>
        <v>BELUM DATANG</v>
      </c>
      <c r="P723" s="37"/>
      <c r="Q723" s="37"/>
      <c r="R723" s="70">
        <f t="shared" si="103"/>
        <v>0</v>
      </c>
    </row>
    <row r="724">
      <c r="A724" s="29" t="s">
        <v>687</v>
      </c>
      <c r="B724" s="30" t="s">
        <v>581</v>
      </c>
      <c r="C724" s="187" t="s">
        <v>729</v>
      </c>
      <c r="D724" s="187" t="s">
        <v>730</v>
      </c>
      <c r="E724" s="188">
        <v>82.0</v>
      </c>
      <c r="F724" s="32" t="s">
        <v>44</v>
      </c>
      <c r="G724" s="32" t="s">
        <v>86</v>
      </c>
      <c r="H724" s="70"/>
      <c r="I724" s="37"/>
      <c r="J724" s="38"/>
      <c r="K724" s="38"/>
      <c r="L724" s="36"/>
      <c r="M724" s="36" t="str">
        <f t="shared" si="108"/>
        <v>BELUM PO</v>
      </c>
      <c r="N724" s="56"/>
      <c r="O724" s="38" t="str">
        <f t="shared" si="109"/>
        <v>BELUM DATANG</v>
      </c>
      <c r="P724" s="37"/>
      <c r="Q724" s="37"/>
      <c r="R724" s="70">
        <f t="shared" si="103"/>
        <v>0</v>
      </c>
    </row>
    <row r="725">
      <c r="A725" s="29" t="s">
        <v>687</v>
      </c>
      <c r="B725" s="30" t="s">
        <v>581</v>
      </c>
      <c r="C725" s="187" t="s">
        <v>731</v>
      </c>
      <c r="D725" s="187" t="s">
        <v>730</v>
      </c>
      <c r="E725" s="158">
        <v>175.0</v>
      </c>
      <c r="F725" s="32" t="s">
        <v>44</v>
      </c>
      <c r="G725" s="32" t="s">
        <v>86</v>
      </c>
      <c r="H725" s="70"/>
      <c r="I725" s="37"/>
      <c r="J725" s="38"/>
      <c r="K725" s="38"/>
      <c r="L725" s="36"/>
      <c r="M725" s="36" t="str">
        <f t="shared" si="108"/>
        <v>BELUM PO</v>
      </c>
      <c r="N725" s="56"/>
      <c r="O725" s="38" t="str">
        <f t="shared" si="109"/>
        <v>BELUM DATANG</v>
      </c>
      <c r="P725" s="37"/>
      <c r="Q725" s="37"/>
      <c r="R725" s="70">
        <f t="shared" si="103"/>
        <v>0</v>
      </c>
    </row>
    <row r="726">
      <c r="A726" s="39" t="s">
        <v>732</v>
      </c>
      <c r="B726" s="30" t="s">
        <v>581</v>
      </c>
      <c r="C726" s="189" t="s">
        <v>733</v>
      </c>
      <c r="D726" s="189" t="s">
        <v>734</v>
      </c>
      <c r="E726" s="190">
        <v>1459.0</v>
      </c>
      <c r="F726" s="40" t="s">
        <v>44</v>
      </c>
      <c r="G726" s="40" t="s">
        <v>86</v>
      </c>
      <c r="H726" s="70"/>
      <c r="I726" s="37"/>
      <c r="J726" s="38"/>
      <c r="K726" s="38"/>
      <c r="L726" s="36"/>
      <c r="M726" s="36" t="str">
        <f t="shared" si="108"/>
        <v>BELUM PO</v>
      </c>
      <c r="N726" s="56"/>
      <c r="O726" s="38" t="str">
        <f t="shared" si="109"/>
        <v>BELUM DATANG</v>
      </c>
      <c r="P726" s="37"/>
      <c r="Q726" s="37"/>
      <c r="R726" s="70">
        <f t="shared" si="103"/>
        <v>0</v>
      </c>
    </row>
    <row r="727">
      <c r="A727" s="39" t="s">
        <v>735</v>
      </c>
      <c r="B727" s="30" t="s">
        <v>581</v>
      </c>
      <c r="C727" s="189" t="s">
        <v>736</v>
      </c>
      <c r="D727" s="189" t="s">
        <v>737</v>
      </c>
      <c r="E727" s="190">
        <v>11.0</v>
      </c>
      <c r="F727" s="40" t="s">
        <v>44</v>
      </c>
      <c r="G727" s="40" t="s">
        <v>86</v>
      </c>
      <c r="H727" s="70"/>
      <c r="I727" s="37"/>
      <c r="J727" s="38"/>
      <c r="K727" s="38"/>
      <c r="L727" s="36"/>
      <c r="M727" s="36" t="str">
        <f t="shared" si="108"/>
        <v>BELUM PO</v>
      </c>
      <c r="N727" s="56"/>
      <c r="O727" s="38" t="str">
        <f t="shared" si="109"/>
        <v>BELUM DATANG</v>
      </c>
      <c r="P727" s="37"/>
      <c r="Q727" s="37"/>
      <c r="R727" s="70">
        <f t="shared" si="103"/>
        <v>0</v>
      </c>
    </row>
    <row r="728">
      <c r="A728" s="29" t="s">
        <v>738</v>
      </c>
      <c r="B728" s="30" t="s">
        <v>581</v>
      </c>
      <c r="C728" s="191" t="s">
        <v>739</v>
      </c>
      <c r="D728" s="191" t="s">
        <v>740</v>
      </c>
      <c r="E728" s="59">
        <v>8.0</v>
      </c>
      <c r="F728" s="32" t="s">
        <v>26</v>
      </c>
      <c r="G728" s="32" t="s">
        <v>71</v>
      </c>
      <c r="H728" s="70"/>
      <c r="I728" s="37"/>
      <c r="J728" s="38"/>
      <c r="K728" s="38"/>
      <c r="L728" s="36"/>
      <c r="M728" s="36" t="str">
        <f t="shared" si="108"/>
        <v>BELUM PO</v>
      </c>
      <c r="N728" s="56"/>
      <c r="O728" s="38" t="str">
        <f t="shared" si="109"/>
        <v>BELUM DATANG</v>
      </c>
      <c r="P728" s="37"/>
      <c r="Q728" s="37"/>
      <c r="R728" s="70">
        <f t="shared" si="103"/>
        <v>0</v>
      </c>
    </row>
    <row r="729">
      <c r="A729" s="29" t="s">
        <v>741</v>
      </c>
      <c r="B729" s="30" t="s">
        <v>581</v>
      </c>
      <c r="C729" s="191" t="s">
        <v>742</v>
      </c>
      <c r="D729" s="191" t="s">
        <v>743</v>
      </c>
      <c r="E729" s="59">
        <v>16.0</v>
      </c>
      <c r="F729" s="32" t="s">
        <v>26</v>
      </c>
      <c r="G729" s="32" t="s">
        <v>71</v>
      </c>
      <c r="H729" s="70"/>
      <c r="I729" s="37"/>
      <c r="J729" s="38"/>
      <c r="K729" s="38"/>
      <c r="L729" s="36"/>
      <c r="M729" s="36" t="str">
        <f t="shared" si="108"/>
        <v>BELUM PO</v>
      </c>
      <c r="N729" s="56"/>
      <c r="O729" s="38" t="str">
        <f t="shared" si="109"/>
        <v>BELUM DATANG</v>
      </c>
      <c r="P729" s="37"/>
      <c r="Q729" s="37"/>
      <c r="R729" s="70">
        <f t="shared" si="103"/>
        <v>0</v>
      </c>
    </row>
    <row r="730">
      <c r="A730" s="29" t="s">
        <v>744</v>
      </c>
      <c r="B730" s="30" t="s">
        <v>581</v>
      </c>
      <c r="C730" s="191" t="s">
        <v>745</v>
      </c>
      <c r="D730" s="191" t="s">
        <v>746</v>
      </c>
      <c r="E730" s="59">
        <v>8.0</v>
      </c>
      <c r="F730" s="32" t="s">
        <v>26</v>
      </c>
      <c r="G730" s="32" t="s">
        <v>71</v>
      </c>
      <c r="H730" s="69">
        <v>8.0</v>
      </c>
      <c r="I730" s="33">
        <v>1.710004599E9</v>
      </c>
      <c r="J730" s="33" t="s">
        <v>132</v>
      </c>
      <c r="K730" s="56">
        <v>46301.0</v>
      </c>
      <c r="L730" s="36"/>
      <c r="M730" s="36" t="str">
        <f t="shared" si="108"/>
        <v>BELUM PO</v>
      </c>
      <c r="N730" s="56"/>
      <c r="O730" s="38" t="str">
        <f t="shared" si="109"/>
        <v>BELUM DATANG</v>
      </c>
      <c r="P730" s="37"/>
      <c r="Q730" s="37"/>
      <c r="R730" s="70">
        <f t="shared" si="103"/>
        <v>-8</v>
      </c>
    </row>
    <row r="731">
      <c r="A731" s="29" t="s">
        <v>747</v>
      </c>
      <c r="B731" s="30" t="s">
        <v>581</v>
      </c>
      <c r="C731" s="191" t="s">
        <v>748</v>
      </c>
      <c r="D731" s="191" t="s">
        <v>749</v>
      </c>
      <c r="E731" s="59">
        <v>8.0</v>
      </c>
      <c r="F731" s="32" t="s">
        <v>26</v>
      </c>
      <c r="G731" s="32" t="s">
        <v>71</v>
      </c>
      <c r="H731" s="70"/>
      <c r="I731" s="37"/>
      <c r="J731" s="38"/>
      <c r="K731" s="38"/>
      <c r="L731" s="36"/>
      <c r="M731" s="36" t="str">
        <f t="shared" si="108"/>
        <v>BELUM PO</v>
      </c>
      <c r="N731" s="56"/>
      <c r="O731" s="38" t="str">
        <f t="shared" si="109"/>
        <v>BELUM DATANG</v>
      </c>
      <c r="P731" s="37"/>
      <c r="Q731" s="37"/>
      <c r="R731" s="70">
        <f t="shared" si="103"/>
        <v>0</v>
      </c>
    </row>
    <row r="732">
      <c r="A732" s="29" t="s">
        <v>750</v>
      </c>
      <c r="B732" s="30" t="s">
        <v>581</v>
      </c>
      <c r="C732" s="191" t="s">
        <v>751</v>
      </c>
      <c r="D732" s="191" t="s">
        <v>752</v>
      </c>
      <c r="E732" s="59">
        <v>24.0</v>
      </c>
      <c r="F732" s="32" t="s">
        <v>26</v>
      </c>
      <c r="G732" s="32" t="s">
        <v>71</v>
      </c>
      <c r="H732" s="70"/>
      <c r="I732" s="37"/>
      <c r="J732" s="38"/>
      <c r="K732" s="38"/>
      <c r="L732" s="36"/>
      <c r="M732" s="36" t="str">
        <f t="shared" si="108"/>
        <v>BELUM PO</v>
      </c>
      <c r="N732" s="56"/>
      <c r="O732" s="38" t="str">
        <f t="shared" si="109"/>
        <v>BELUM DATANG</v>
      </c>
      <c r="P732" s="37"/>
      <c r="Q732" s="37"/>
      <c r="R732" s="70">
        <f t="shared" si="103"/>
        <v>0</v>
      </c>
    </row>
    <row r="733">
      <c r="A733" s="29" t="s">
        <v>753</v>
      </c>
      <c r="B733" s="30" t="s">
        <v>581</v>
      </c>
      <c r="C733" s="191" t="s">
        <v>754</v>
      </c>
      <c r="D733" s="191" t="s">
        <v>755</v>
      </c>
      <c r="E733" s="59">
        <v>40.0</v>
      </c>
      <c r="F733" s="32" t="s">
        <v>26</v>
      </c>
      <c r="G733" s="32" t="s">
        <v>71</v>
      </c>
      <c r="H733" s="70"/>
      <c r="I733" s="37"/>
      <c r="J733" s="38"/>
      <c r="K733" s="38"/>
      <c r="L733" s="36"/>
      <c r="M733" s="36" t="str">
        <f t="shared" si="108"/>
        <v>BELUM PO</v>
      </c>
      <c r="N733" s="56"/>
      <c r="O733" s="38" t="str">
        <f t="shared" si="109"/>
        <v>BELUM DATANG</v>
      </c>
      <c r="P733" s="37"/>
      <c r="Q733" s="37"/>
      <c r="R733" s="70">
        <f t="shared" si="103"/>
        <v>0</v>
      </c>
    </row>
    <row r="734">
      <c r="A734" s="29" t="s">
        <v>756</v>
      </c>
      <c r="B734" s="30" t="s">
        <v>581</v>
      </c>
      <c r="C734" s="191" t="s">
        <v>757</v>
      </c>
      <c r="D734" s="191" t="s">
        <v>758</v>
      </c>
      <c r="E734" s="59">
        <v>40.0</v>
      </c>
      <c r="F734" s="32" t="s">
        <v>26</v>
      </c>
      <c r="G734" s="32" t="s">
        <v>71</v>
      </c>
      <c r="H734" s="70"/>
      <c r="I734" s="37"/>
      <c r="J734" s="38"/>
      <c r="K734" s="38"/>
      <c r="L734" s="36"/>
      <c r="M734" s="36" t="str">
        <f t="shared" si="108"/>
        <v>BELUM PO</v>
      </c>
      <c r="N734" s="56"/>
      <c r="O734" s="38" t="str">
        <f t="shared" si="109"/>
        <v>BELUM DATANG</v>
      </c>
      <c r="P734" s="37"/>
      <c r="Q734" s="37"/>
      <c r="R734" s="70">
        <f t="shared" si="103"/>
        <v>0</v>
      </c>
    </row>
    <row r="735">
      <c r="A735" s="29" t="s">
        <v>759</v>
      </c>
      <c r="B735" s="30" t="s">
        <v>581</v>
      </c>
      <c r="C735" s="191" t="s">
        <v>760</v>
      </c>
      <c r="D735" s="191" t="s">
        <v>761</v>
      </c>
      <c r="E735" s="59">
        <v>40.0</v>
      </c>
      <c r="F735" s="32" t="s">
        <v>26</v>
      </c>
      <c r="G735" s="32" t="s">
        <v>71</v>
      </c>
      <c r="H735" s="70"/>
      <c r="I735" s="37"/>
      <c r="J735" s="38"/>
      <c r="K735" s="38"/>
      <c r="L735" s="36"/>
      <c r="M735" s="36" t="str">
        <f t="shared" si="108"/>
        <v>BELUM PO</v>
      </c>
      <c r="N735" s="56"/>
      <c r="O735" s="38" t="str">
        <f t="shared" si="109"/>
        <v>BELUM DATANG</v>
      </c>
      <c r="P735" s="37"/>
      <c r="Q735" s="37"/>
      <c r="R735" s="70">
        <f t="shared" si="103"/>
        <v>0</v>
      </c>
    </row>
    <row r="736">
      <c r="A736" s="29" t="s">
        <v>762</v>
      </c>
      <c r="B736" s="30" t="s">
        <v>581</v>
      </c>
      <c r="C736" s="191" t="s">
        <v>763</v>
      </c>
      <c r="D736" s="191" t="s">
        <v>764</v>
      </c>
      <c r="E736" s="59">
        <v>8.0</v>
      </c>
      <c r="F736" s="32" t="s">
        <v>26</v>
      </c>
      <c r="G736" s="32" t="s">
        <v>71</v>
      </c>
      <c r="H736" s="70"/>
      <c r="I736" s="37"/>
      <c r="J736" s="38"/>
      <c r="K736" s="38"/>
      <c r="L736" s="36"/>
      <c r="M736" s="36" t="str">
        <f t="shared" si="108"/>
        <v>BELUM PO</v>
      </c>
      <c r="N736" s="56"/>
      <c r="O736" s="38" t="str">
        <f t="shared" si="109"/>
        <v>BELUM DATANG</v>
      </c>
      <c r="P736" s="37"/>
      <c r="Q736" s="37"/>
      <c r="R736" s="70">
        <f t="shared" si="103"/>
        <v>0</v>
      </c>
    </row>
    <row r="737">
      <c r="A737" s="192" t="s">
        <v>765</v>
      </c>
      <c r="B737" s="112" t="s">
        <v>581</v>
      </c>
      <c r="C737" s="193" t="s">
        <v>766</v>
      </c>
      <c r="D737" s="193" t="s">
        <v>767</v>
      </c>
      <c r="E737" s="194">
        <v>0.0</v>
      </c>
      <c r="F737" s="195" t="s">
        <v>10</v>
      </c>
      <c r="G737" s="195" t="s">
        <v>27</v>
      </c>
      <c r="H737" s="114"/>
      <c r="I737" s="118"/>
      <c r="J737" s="119"/>
      <c r="K737" s="119"/>
      <c r="L737" s="117"/>
      <c r="M737" s="117"/>
      <c r="N737" s="196"/>
      <c r="O737" s="119"/>
      <c r="P737" s="118"/>
      <c r="Q737" s="118"/>
      <c r="R737" s="114">
        <f t="shared" si="103"/>
        <v>0</v>
      </c>
    </row>
    <row r="738">
      <c r="A738" s="197" t="s">
        <v>768</v>
      </c>
      <c r="B738" s="112" t="s">
        <v>581</v>
      </c>
      <c r="C738" s="193" t="s">
        <v>769</v>
      </c>
      <c r="D738" s="193" t="s">
        <v>770</v>
      </c>
      <c r="E738" s="194">
        <v>0.0</v>
      </c>
      <c r="F738" s="195" t="s">
        <v>10</v>
      </c>
      <c r="G738" s="195" t="s">
        <v>27</v>
      </c>
      <c r="H738" s="114"/>
      <c r="I738" s="118"/>
      <c r="J738" s="119"/>
      <c r="K738" s="119"/>
      <c r="L738" s="117"/>
      <c r="M738" s="117"/>
      <c r="N738" s="196"/>
      <c r="O738" s="119"/>
      <c r="P738" s="118"/>
      <c r="Q738" s="118"/>
      <c r="R738" s="114">
        <f t="shared" si="103"/>
        <v>0</v>
      </c>
    </row>
    <row r="739">
      <c r="A739" s="192" t="s">
        <v>771</v>
      </c>
      <c r="B739" s="112" t="s">
        <v>581</v>
      </c>
      <c r="C739" s="193" t="s">
        <v>772</v>
      </c>
      <c r="D739" s="193" t="s">
        <v>773</v>
      </c>
      <c r="E739" s="194">
        <v>0.0</v>
      </c>
      <c r="F739" s="195" t="s">
        <v>10</v>
      </c>
      <c r="G739" s="195" t="s">
        <v>27</v>
      </c>
      <c r="H739" s="114"/>
      <c r="I739" s="118"/>
      <c r="J739" s="119"/>
      <c r="K739" s="119"/>
      <c r="L739" s="117"/>
      <c r="M739" s="117"/>
      <c r="N739" s="196"/>
      <c r="O739" s="119"/>
      <c r="P739" s="118"/>
      <c r="Q739" s="118"/>
      <c r="R739" s="114">
        <f t="shared" si="103"/>
        <v>0</v>
      </c>
    </row>
    <row r="740">
      <c r="A740" s="197" t="s">
        <v>774</v>
      </c>
      <c r="B740" s="112" t="s">
        <v>581</v>
      </c>
      <c r="C740" s="193" t="s">
        <v>775</v>
      </c>
      <c r="D740" s="193" t="s">
        <v>776</v>
      </c>
      <c r="E740" s="194">
        <v>0.0</v>
      </c>
      <c r="F740" s="195" t="s">
        <v>10</v>
      </c>
      <c r="G740" s="195" t="s">
        <v>27</v>
      </c>
      <c r="H740" s="114"/>
      <c r="I740" s="118"/>
      <c r="J740" s="119"/>
      <c r="K740" s="119"/>
      <c r="L740" s="117"/>
      <c r="M740" s="117"/>
      <c r="N740" s="196"/>
      <c r="O740" s="119"/>
      <c r="P740" s="118"/>
      <c r="Q740" s="118"/>
      <c r="R740" s="114">
        <f t="shared" si="103"/>
        <v>0</v>
      </c>
    </row>
    <row r="741">
      <c r="A741" s="192" t="s">
        <v>777</v>
      </c>
      <c r="B741" s="112" t="s">
        <v>581</v>
      </c>
      <c r="C741" s="193" t="s">
        <v>778</v>
      </c>
      <c r="D741" s="193" t="s">
        <v>779</v>
      </c>
      <c r="E741" s="194">
        <v>0.0</v>
      </c>
      <c r="F741" s="195" t="s">
        <v>10</v>
      </c>
      <c r="G741" s="195" t="s">
        <v>27</v>
      </c>
      <c r="H741" s="114"/>
      <c r="I741" s="118"/>
      <c r="J741" s="119"/>
      <c r="K741" s="119"/>
      <c r="L741" s="117"/>
      <c r="M741" s="117"/>
      <c r="N741" s="196"/>
      <c r="O741" s="119"/>
      <c r="P741" s="118"/>
      <c r="Q741" s="118"/>
      <c r="R741" s="114">
        <f t="shared" si="103"/>
        <v>0</v>
      </c>
    </row>
    <row r="742">
      <c r="A742" s="197" t="s">
        <v>780</v>
      </c>
      <c r="B742" s="112" t="s">
        <v>581</v>
      </c>
      <c r="C742" s="193" t="s">
        <v>781</v>
      </c>
      <c r="D742" s="193" t="s">
        <v>782</v>
      </c>
      <c r="E742" s="194">
        <v>0.0</v>
      </c>
      <c r="F742" s="195" t="s">
        <v>10</v>
      </c>
      <c r="G742" s="195" t="s">
        <v>27</v>
      </c>
      <c r="H742" s="114"/>
      <c r="I742" s="118"/>
      <c r="J742" s="119"/>
      <c r="K742" s="119"/>
      <c r="L742" s="117"/>
      <c r="M742" s="117"/>
      <c r="N742" s="196"/>
      <c r="O742" s="119"/>
      <c r="P742" s="118"/>
      <c r="Q742" s="118"/>
      <c r="R742" s="114">
        <f t="shared" si="103"/>
        <v>0</v>
      </c>
    </row>
    <row r="743">
      <c r="A743" s="192" t="s">
        <v>765</v>
      </c>
      <c r="B743" s="112" t="s">
        <v>581</v>
      </c>
      <c r="C743" s="193" t="s">
        <v>783</v>
      </c>
      <c r="D743" s="193" t="s">
        <v>784</v>
      </c>
      <c r="E743" s="194">
        <v>0.0</v>
      </c>
      <c r="F743" s="195" t="s">
        <v>10</v>
      </c>
      <c r="G743" s="195" t="s">
        <v>27</v>
      </c>
      <c r="H743" s="114"/>
      <c r="I743" s="118"/>
      <c r="J743" s="119"/>
      <c r="K743" s="119"/>
      <c r="L743" s="117"/>
      <c r="M743" s="117"/>
      <c r="N743" s="196"/>
      <c r="O743" s="119"/>
      <c r="P743" s="118"/>
      <c r="Q743" s="118"/>
      <c r="R743" s="114">
        <f t="shared" si="103"/>
        <v>0</v>
      </c>
    </row>
    <row r="744">
      <c r="A744" s="192" t="s">
        <v>785</v>
      </c>
      <c r="B744" s="112" t="s">
        <v>581</v>
      </c>
      <c r="C744" s="193" t="s">
        <v>786</v>
      </c>
      <c r="D744" s="193" t="s">
        <v>787</v>
      </c>
      <c r="E744" s="198">
        <v>0.0</v>
      </c>
      <c r="F744" s="195" t="s">
        <v>10</v>
      </c>
      <c r="G744" s="195" t="s">
        <v>27</v>
      </c>
      <c r="H744" s="114"/>
      <c r="I744" s="118"/>
      <c r="J744" s="119"/>
      <c r="K744" s="119"/>
      <c r="L744" s="117"/>
      <c r="M744" s="117"/>
      <c r="N744" s="196"/>
      <c r="O744" s="119"/>
      <c r="P744" s="118"/>
      <c r="Q744" s="118"/>
      <c r="R744" s="114">
        <f t="shared" si="103"/>
        <v>0</v>
      </c>
    </row>
    <row r="745">
      <c r="A745" s="180" t="s">
        <v>788</v>
      </c>
      <c r="B745" s="30" t="s">
        <v>581</v>
      </c>
      <c r="C745" s="181" t="s">
        <v>789</v>
      </c>
      <c r="D745" s="181" t="s">
        <v>790</v>
      </c>
      <c r="E745" s="136">
        <v>415.0</v>
      </c>
      <c r="F745" s="122" t="s">
        <v>44</v>
      </c>
      <c r="G745" s="32" t="s">
        <v>86</v>
      </c>
      <c r="H745" s="101"/>
      <c r="I745" s="49"/>
      <c r="J745" s="50"/>
      <c r="K745" s="50"/>
      <c r="L745" s="51"/>
      <c r="M745" s="51"/>
      <c r="N745" s="184"/>
      <c r="O745" s="50"/>
      <c r="P745" s="49"/>
      <c r="Q745" s="49"/>
      <c r="R745" s="101">
        <f t="shared" si="103"/>
        <v>0</v>
      </c>
    </row>
    <row r="746">
      <c r="A746" s="29" t="s">
        <v>791</v>
      </c>
      <c r="B746" s="30" t="s">
        <v>581</v>
      </c>
      <c r="C746" s="105" t="s">
        <v>789</v>
      </c>
      <c r="D746" s="105" t="s">
        <v>792</v>
      </c>
      <c r="E746" s="59">
        <v>1125.0</v>
      </c>
      <c r="F746" s="32" t="s">
        <v>44</v>
      </c>
      <c r="G746" s="32" t="s">
        <v>86</v>
      </c>
      <c r="H746" s="70"/>
      <c r="I746" s="37"/>
      <c r="J746" s="38"/>
      <c r="K746" s="38"/>
      <c r="L746" s="36"/>
      <c r="M746" s="36" t="str">
        <f>IF(LEN(L746)=10,"SUDAH PO",IF(L746="STOK","READY STOK",IF(L746="PL","READY STOK","BELUM PO")))</f>
        <v>BELUM PO</v>
      </c>
      <c r="N746" s="56"/>
      <c r="O746" s="38" t="str">
        <f>IF(H746="STOK","STOK",IF(ISBLANK(P746),"BELUM DATANG",IF(R746=0,"CLOSE","DATANG SEBAGIAN")))</f>
        <v>BELUM DATANG</v>
      </c>
      <c r="P746" s="37"/>
      <c r="Q746" s="37"/>
      <c r="R746" s="70">
        <f t="shared" si="103"/>
        <v>0</v>
      </c>
    </row>
    <row r="747">
      <c r="A747" s="180" t="s">
        <v>793</v>
      </c>
      <c r="B747" s="30" t="s">
        <v>581</v>
      </c>
      <c r="C747" s="181" t="s">
        <v>794</v>
      </c>
      <c r="D747" s="181" t="s">
        <v>795</v>
      </c>
      <c r="E747" s="136">
        <v>488.0</v>
      </c>
      <c r="F747" s="122" t="s">
        <v>44</v>
      </c>
      <c r="G747" s="32" t="s">
        <v>86</v>
      </c>
      <c r="H747" s="101"/>
      <c r="I747" s="49"/>
      <c r="J747" s="50"/>
      <c r="K747" s="50"/>
      <c r="L747" s="51"/>
      <c r="M747" s="51"/>
      <c r="N747" s="184"/>
      <c r="O747" s="50"/>
      <c r="P747" s="49"/>
      <c r="Q747" s="49"/>
      <c r="R747" s="101">
        <f t="shared" si="103"/>
        <v>0</v>
      </c>
    </row>
  </sheetData>
  <autoFilter ref="$A$6:$R$747"/>
  <customSheetViews>
    <customSheetView guid="{809B2B61-5217-4BC0-91ED-481C960AD27F}" filter="1" showAutoFilter="1">
      <autoFilter ref="$A$5:$R$521"/>
    </customSheetView>
  </customSheetViews>
  <mergeCells count="239">
    <mergeCell ref="Q391:Q400"/>
    <mergeCell ref="R391:R400"/>
    <mergeCell ref="J391:J400"/>
    <mergeCell ref="K391:K400"/>
    <mergeCell ref="L391:L400"/>
    <mergeCell ref="M391:M400"/>
    <mergeCell ref="N391:N400"/>
    <mergeCell ref="O391:O400"/>
    <mergeCell ref="P391:P400"/>
    <mergeCell ref="A391:A400"/>
    <mergeCell ref="C391:C400"/>
    <mergeCell ref="E391:E400"/>
    <mergeCell ref="F391:F400"/>
    <mergeCell ref="G391:G400"/>
    <mergeCell ref="H391:H400"/>
    <mergeCell ref="I391:I400"/>
    <mergeCell ref="Q418:Q427"/>
    <mergeCell ref="R418:R427"/>
    <mergeCell ref="A418:A427"/>
    <mergeCell ref="A447:A456"/>
    <mergeCell ref="C418:C427"/>
    <mergeCell ref="E418:E427"/>
    <mergeCell ref="F418:F427"/>
    <mergeCell ref="G418:G427"/>
    <mergeCell ref="H418:H427"/>
    <mergeCell ref="I418:I427"/>
    <mergeCell ref="C446:E446"/>
    <mergeCell ref="M447:M456"/>
    <mergeCell ref="N447:N456"/>
    <mergeCell ref="O447:O456"/>
    <mergeCell ref="P447:P456"/>
    <mergeCell ref="Q447:Q456"/>
    <mergeCell ref="R447:R456"/>
    <mergeCell ref="J418:J427"/>
    <mergeCell ref="K418:K427"/>
    <mergeCell ref="L418:L427"/>
    <mergeCell ref="M418:M427"/>
    <mergeCell ref="N418:N427"/>
    <mergeCell ref="O418:O427"/>
    <mergeCell ref="P418:P427"/>
    <mergeCell ref="K447:K456"/>
    <mergeCell ref="L447:L456"/>
    <mergeCell ref="C447:C456"/>
    <mergeCell ref="E447:E456"/>
    <mergeCell ref="F447:F456"/>
    <mergeCell ref="G447:G456"/>
    <mergeCell ref="H447:H456"/>
    <mergeCell ref="I447:I456"/>
    <mergeCell ref="J447:J456"/>
    <mergeCell ref="Q475:Q484"/>
    <mergeCell ref="R475:R484"/>
    <mergeCell ref="J475:J484"/>
    <mergeCell ref="K475:K484"/>
    <mergeCell ref="L475:L484"/>
    <mergeCell ref="M475:M484"/>
    <mergeCell ref="N475:N484"/>
    <mergeCell ref="O475:O484"/>
    <mergeCell ref="P475:P484"/>
    <mergeCell ref="A475:A484"/>
    <mergeCell ref="C475:C484"/>
    <mergeCell ref="E475:E484"/>
    <mergeCell ref="F475:F484"/>
    <mergeCell ref="G475:G484"/>
    <mergeCell ref="H475:H484"/>
    <mergeCell ref="I475:I484"/>
    <mergeCell ref="Q512:Q521"/>
    <mergeCell ref="R512:R521"/>
    <mergeCell ref="A547:A556"/>
    <mergeCell ref="C547:C556"/>
    <mergeCell ref="E547:E556"/>
    <mergeCell ref="F547:F556"/>
    <mergeCell ref="G547:G556"/>
    <mergeCell ref="H547:H556"/>
    <mergeCell ref="I547:I556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Q73:Q82"/>
    <mergeCell ref="R73:R82"/>
    <mergeCell ref="C1:C3"/>
    <mergeCell ref="E1:R3"/>
    <mergeCell ref="A4:A5"/>
    <mergeCell ref="C4:C5"/>
    <mergeCell ref="D4:D5"/>
    <mergeCell ref="E4:E5"/>
    <mergeCell ref="F4:F5"/>
    <mergeCell ref="G4:G5"/>
    <mergeCell ref="H4:H5"/>
    <mergeCell ref="A73:A82"/>
    <mergeCell ref="C73:C82"/>
    <mergeCell ref="E73:E82"/>
    <mergeCell ref="F73:F82"/>
    <mergeCell ref="G73:G82"/>
    <mergeCell ref="J238:J247"/>
    <mergeCell ref="K238:K247"/>
    <mergeCell ref="L238:L247"/>
    <mergeCell ref="M238:M247"/>
    <mergeCell ref="N238:N247"/>
    <mergeCell ref="O238:O247"/>
    <mergeCell ref="P238:P247"/>
    <mergeCell ref="A238:A247"/>
    <mergeCell ref="C238:C247"/>
    <mergeCell ref="E238:E247"/>
    <mergeCell ref="F238:F247"/>
    <mergeCell ref="G238:G247"/>
    <mergeCell ref="H238:H247"/>
    <mergeCell ref="I238:I247"/>
    <mergeCell ref="Q307:Q316"/>
    <mergeCell ref="R307:R316"/>
    <mergeCell ref="J307:J316"/>
    <mergeCell ref="K307:K316"/>
    <mergeCell ref="L307:L316"/>
    <mergeCell ref="M307:M316"/>
    <mergeCell ref="N307:N316"/>
    <mergeCell ref="O307:O316"/>
    <mergeCell ref="P307:P316"/>
    <mergeCell ref="O73:O82"/>
    <mergeCell ref="P73:P82"/>
    <mergeCell ref="H73:H82"/>
    <mergeCell ref="I73:I82"/>
    <mergeCell ref="J73:J82"/>
    <mergeCell ref="K73:K82"/>
    <mergeCell ref="L73:L82"/>
    <mergeCell ref="M73:M82"/>
    <mergeCell ref="N73:N82"/>
    <mergeCell ref="Q139:Q148"/>
    <mergeCell ref="R139:R148"/>
    <mergeCell ref="J139:J148"/>
    <mergeCell ref="K139:K148"/>
    <mergeCell ref="L139:L148"/>
    <mergeCell ref="M139:M148"/>
    <mergeCell ref="N139:N148"/>
    <mergeCell ref="O139:O148"/>
    <mergeCell ref="P139:P148"/>
    <mergeCell ref="A139:A148"/>
    <mergeCell ref="C139:C148"/>
    <mergeCell ref="E139:E148"/>
    <mergeCell ref="F139:F148"/>
    <mergeCell ref="G139:G148"/>
    <mergeCell ref="H139:H148"/>
    <mergeCell ref="I139:I148"/>
    <mergeCell ref="Q238:Q247"/>
    <mergeCell ref="R238:R247"/>
    <mergeCell ref="A307:A316"/>
    <mergeCell ref="C307:C316"/>
    <mergeCell ref="E307:E316"/>
    <mergeCell ref="F307:F316"/>
    <mergeCell ref="G307:G316"/>
    <mergeCell ref="H307:H316"/>
    <mergeCell ref="I307:I316"/>
    <mergeCell ref="J512:J521"/>
    <mergeCell ref="K512:K521"/>
    <mergeCell ref="L512:L521"/>
    <mergeCell ref="M512:M521"/>
    <mergeCell ref="N512:N521"/>
    <mergeCell ref="O512:O521"/>
    <mergeCell ref="P512:P521"/>
    <mergeCell ref="A512:A521"/>
    <mergeCell ref="C512:C521"/>
    <mergeCell ref="E512:E521"/>
    <mergeCell ref="F512:F521"/>
    <mergeCell ref="G512:G521"/>
    <mergeCell ref="H512:H521"/>
    <mergeCell ref="I512:I521"/>
    <mergeCell ref="Q547:Q556"/>
    <mergeCell ref="R547:R556"/>
    <mergeCell ref="J547:J556"/>
    <mergeCell ref="K547:K556"/>
    <mergeCell ref="L547:L556"/>
    <mergeCell ref="M547:M556"/>
    <mergeCell ref="N547:N556"/>
    <mergeCell ref="O547:O556"/>
    <mergeCell ref="P547:P556"/>
    <mergeCell ref="A679:A681"/>
    <mergeCell ref="B679:B681"/>
    <mergeCell ref="C679:C681"/>
    <mergeCell ref="D679:D681"/>
    <mergeCell ref="E679:E681"/>
    <mergeCell ref="F679:F681"/>
    <mergeCell ref="G679:G681"/>
    <mergeCell ref="A682:A683"/>
    <mergeCell ref="B682:B683"/>
    <mergeCell ref="C682:C683"/>
    <mergeCell ref="D682:D683"/>
    <mergeCell ref="E682:E683"/>
    <mergeCell ref="F682:F683"/>
    <mergeCell ref="G682:G683"/>
    <mergeCell ref="C709:C710"/>
    <mergeCell ref="C711:C712"/>
    <mergeCell ref="A690:A691"/>
    <mergeCell ref="B690:B691"/>
    <mergeCell ref="C690:C691"/>
    <mergeCell ref="D690:D691"/>
    <mergeCell ref="E690:E691"/>
    <mergeCell ref="F690:F691"/>
    <mergeCell ref="G690:G691"/>
    <mergeCell ref="Q607:Q616"/>
    <mergeCell ref="R607:R616"/>
    <mergeCell ref="J607:J616"/>
    <mergeCell ref="K607:K616"/>
    <mergeCell ref="L607:L616"/>
    <mergeCell ref="M607:M616"/>
    <mergeCell ref="N607:N616"/>
    <mergeCell ref="O607:O616"/>
    <mergeCell ref="P607:P616"/>
    <mergeCell ref="A607:A616"/>
    <mergeCell ref="E607:E616"/>
    <mergeCell ref="F607:F616"/>
    <mergeCell ref="G607:G616"/>
    <mergeCell ref="H607:H616"/>
    <mergeCell ref="I607:I616"/>
    <mergeCell ref="A621:A628"/>
    <mergeCell ref="O621:O628"/>
    <mergeCell ref="P621:P628"/>
    <mergeCell ref="Q621:Q628"/>
    <mergeCell ref="R621:R628"/>
    <mergeCell ref="H621:H628"/>
    <mergeCell ref="I621:I628"/>
    <mergeCell ref="J621:J628"/>
    <mergeCell ref="K621:K628"/>
    <mergeCell ref="L621:L628"/>
    <mergeCell ref="M621:M628"/>
    <mergeCell ref="N621:N628"/>
    <mergeCell ref="F676:F678"/>
    <mergeCell ref="G676:G678"/>
    <mergeCell ref="C607:C616"/>
    <mergeCell ref="C621:C628"/>
    <mergeCell ref="A676:A678"/>
    <mergeCell ref="B676:B678"/>
    <mergeCell ref="C676:C678"/>
    <mergeCell ref="D676:D678"/>
    <mergeCell ref="E676:E678"/>
  </mergeCells>
  <conditionalFormatting sqref="M7:M607 M629:M747">
    <cfRule type="containsText" dxfId="0" priority="1" operator="containsText" text="SUDAH PO">
      <formula>NOT(ISERROR(SEARCH(("SUDAH PO"),(M7))))</formula>
    </cfRule>
  </conditionalFormatting>
  <conditionalFormatting sqref="M7:M607 M629:M747">
    <cfRule type="containsText" dxfId="1" priority="2" operator="containsText" text="BELUM PO">
      <formula>NOT(ISERROR(SEARCH(("BELUM PO"),(M7))))</formula>
    </cfRule>
  </conditionalFormatting>
  <conditionalFormatting sqref="O7:O607 O629:O747">
    <cfRule type="containsText" dxfId="0" priority="3" operator="containsText" text="CLOSE">
      <formula>NOT(ISERROR(SEARCH(("CLOSE"),(O7))))</formula>
    </cfRule>
  </conditionalFormatting>
  <conditionalFormatting sqref="O7:O607 O629:O747">
    <cfRule type="containsText" dxfId="1" priority="4" operator="containsText" text="BELUM DATANG">
      <formula>NOT(ISERROR(SEARCH(("BELUM DATANG"),(O7))))</formula>
    </cfRule>
  </conditionalFormatting>
  <dataValidations>
    <dataValidation type="list" allowBlank="1" showErrorMessage="1" sqref="B7:B19 B21:B86 B88:B152 B154:B247 B249:B316 B318:B400 B402:B456 B458:B484 B486:B521 B523:B616 B618:B619 B621:B676 B679 B682 B684:B690 B692:B747">
      <formula1>"Gedung SMA,Gedung SMP,Kawasan,Gedung SD,Asrama PA/PI,Rusun PA,Rusun PI ,Kantin SD,Kantin SMP,Kantin SMA,Serbaguna,Masjid,MBG &amp; Gudang,GuestHouse,Genset,Kawasan"</formula1>
    </dataValidation>
  </dataValidations>
  <drawing r:id="rId1"/>
</worksheet>
</file>